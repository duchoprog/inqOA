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Y" sheetId="1" r:id="rId4"/>
    <sheet state="visible" name="PRINT" sheetId="2" r:id="rId5"/>
    <sheet state="visible" name="CERTIFICACIONES" sheetId="3" r:id="rId6"/>
    <sheet state="visible" name="INCOTERM" sheetId="4" r:id="rId7"/>
    <sheet state="visible" name="CODART PRODUCTO" sheetId="5" r:id="rId8"/>
    <sheet state="visible" name="BORRADOR" sheetId="6" r:id="rId9"/>
    <sheet state="hidden" name="CODART ORIGEN" sheetId="7" r:id="rId10"/>
    <sheet state="hidden" name="CODART RESPONSABLE" sheetId="8" r:id="rId11"/>
    <sheet state="hidden" name="Hoja2" sheetId="9" r:id="rId12"/>
  </sheets>
  <definedNames/>
  <calcPr/>
  <extLst>
    <ext uri="GoogleSheetsCustomDataVersion2">
      <go:sheetsCustomData xmlns:go="http://customooxmlschemas.google.com/" r:id="rId13" roundtripDataChecksum="dnfa7Cko58hPamJp9IhwouK9BSTKW6JXAyx28fMDlC4="/>
    </ext>
  </extLst>
</workbook>
</file>

<file path=xl/sharedStrings.xml><?xml version="1.0" encoding="utf-8"?>
<sst xmlns="http://schemas.openxmlformats.org/spreadsheetml/2006/main" count="559" uniqueCount="503">
  <si>
    <t>PROYECTO</t>
  </si>
  <si>
    <t xml:space="preserve">
</t>
  </si>
  <si>
    <t>PLEASE FILL</t>
  </si>
  <si>
    <t>PACKING INFORMATION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</si>
  <si>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</si>
  <si>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</si>
  <si>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</si>
  <si>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</si>
  <si>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</si>
  <si>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</si>
  <si>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</si>
  <si>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</si>
  <si>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</si>
  <si>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>CODE NUMBER.     
(Fill by GBP)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</si>
  <si>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</si>
  <si>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</si>
  <si>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</si>
  <si>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</si>
  <si>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</si>
  <si>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</si>
  <si>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</si>
  <si>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</si>
  <si>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</si>
  <si>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</si>
  <si>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</si>
  <si>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</si>
  <si>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</si>
  <si>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</si>
  <si>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</si>
  <si>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</si>
  <si>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</si>
  <si>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</si>
  <si>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</si>
  <si>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</si>
  <si>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</si>
  <si>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</si>
  <si>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</si>
  <si>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</si>
  <si>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</si>
  <si>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</si>
  <si>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</si>
  <si>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</si>
  <si>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</si>
  <si>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</si>
  <si>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</si>
  <si>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</si>
  <si>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</si>
  <si>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</si>
  <si>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</si>
  <si>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</si>
  <si>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</si>
  <si>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</si>
  <si>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</si>
  <si>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</si>
  <si>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</si>
  <si>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</si>
  <si>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</si>
  <si>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</si>
  <si>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</si>
  <si>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</si>
  <si>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</si>
  <si>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SGS</t>
  </si>
  <si>
    <t>FDA</t>
  </si>
  <si>
    <t>SEDEX</t>
  </si>
  <si>
    <t>BSCI</t>
  </si>
  <si>
    <t>NO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</si>
  <si>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</si>
  <si>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</si>
  <si>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</si>
  <si>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</si>
  <si>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</si>
  <si>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</si>
  <si>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</si>
  <si>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</si>
  <si>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</si>
  <si>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</si>
  <si>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</si>
  <si>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</si>
  <si>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</si>
  <si>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ORDEN</t>
  </si>
  <si>
    <t>CODIGO PRODUCTO</t>
  </si>
  <si>
    <t>ABANICO</t>
  </si>
  <si>
    <t>ABA</t>
  </si>
  <si>
    <t>ABRIDOR</t>
  </si>
  <si>
    <t>ABR</t>
  </si>
  <si>
    <t>ACCESORIOS</t>
  </si>
  <si>
    <t>ACC</t>
  </si>
  <si>
    <t>ALARMA</t>
  </si>
  <si>
    <t>ALA</t>
  </si>
  <si>
    <t>ALMOHADON</t>
  </si>
  <si>
    <t>ALM</t>
  </si>
  <si>
    <t>ALTAVOZ</t>
  </si>
  <si>
    <t>ALT</t>
  </si>
  <si>
    <t>AMPLIFICADOR DE TELÉFONO</t>
  </si>
  <si>
    <t>AMP</t>
  </si>
  <si>
    <t>ARTÍCULOS DE OFICINA</t>
  </si>
  <si>
    <t>ART</t>
  </si>
  <si>
    <t>AUDÍFONOS CON CAJA PLÁSTICA</t>
  </si>
  <si>
    <t>AUD</t>
  </si>
  <si>
    <t>AURICULARES</t>
  </si>
  <si>
    <t>AUR</t>
  </si>
  <si>
    <t xml:space="preserve">AZUCARERA </t>
  </si>
  <si>
    <t>AZU</t>
  </si>
  <si>
    <t>BANDEJA ANTIADHERENTE</t>
  </si>
  <si>
    <t>BAD</t>
  </si>
  <si>
    <t>BALDE 5L</t>
  </si>
  <si>
    <t>BAL</t>
  </si>
  <si>
    <t>BANNER</t>
  </si>
  <si>
    <t>BAN</t>
  </si>
  <si>
    <t>BASE CARGADORA</t>
  </si>
  <si>
    <t>BAS</t>
  </si>
  <si>
    <t>BATERIAS</t>
  </si>
  <si>
    <t>BAT</t>
  </si>
  <si>
    <t>BANDANA</t>
  </si>
  <si>
    <t>BDN</t>
  </si>
  <si>
    <t>BANDEROLA</t>
  </si>
  <si>
    <t>BDR</t>
  </si>
  <si>
    <t>BOLÍGRAFO CÁPSULA</t>
  </si>
  <si>
    <t>BLG</t>
  </si>
  <si>
    <t>BLOC DE NOTAS ADHESIVAS</t>
  </si>
  <si>
    <t>BLO</t>
  </si>
  <si>
    <t>BOLIGRAFO CON LASER</t>
  </si>
  <si>
    <t>BLS</t>
  </si>
  <si>
    <t>BACKPACK PARA LAPTOP</t>
  </si>
  <si>
    <t>BLT</t>
  </si>
  <si>
    <t>BANDEJA METALICA</t>
  </si>
  <si>
    <t>BML</t>
  </si>
  <si>
    <t>BARMAT</t>
  </si>
  <si>
    <t>BMT</t>
  </si>
  <si>
    <t>BANDEJA PLASTICA</t>
  </si>
  <si>
    <t>BPL</t>
  </si>
  <si>
    <t>BOLSO</t>
  </si>
  <si>
    <t>BOL</t>
  </si>
  <si>
    <t>BOTELLA PLASTICA</t>
  </si>
  <si>
    <t>BOT</t>
  </si>
  <si>
    <t>BOWL</t>
  </si>
  <si>
    <t>BOW</t>
  </si>
  <si>
    <t>BAR RAIL</t>
  </si>
  <si>
    <t>BRA</t>
  </si>
  <si>
    <t>BROCHA</t>
  </si>
  <si>
    <t>BRO</t>
  </si>
  <si>
    <t>BOLSA</t>
  </si>
  <si>
    <t>BSA</t>
  </si>
  <si>
    <t>BUSCADOR DE LLAVES</t>
  </si>
  <si>
    <t>BUS</t>
  </si>
  <si>
    <t>CABLE USB</t>
  </si>
  <si>
    <t>CAB</t>
  </si>
  <si>
    <t>BAR CADDY</t>
  </si>
  <si>
    <t>CAD</t>
  </si>
  <si>
    <t>CAJA  CARTON</t>
  </si>
  <si>
    <t>CAJ</t>
  </si>
  <si>
    <t>CAMISA</t>
  </si>
  <si>
    <t>CAM</t>
  </si>
  <si>
    <t>CAPOTA</t>
  </si>
  <si>
    <t>CAP</t>
  </si>
  <si>
    <t>CARRIZO</t>
  </si>
  <si>
    <t>CAR</t>
  </si>
  <si>
    <t>CUBETA</t>
  </si>
  <si>
    <t>CBT</t>
  </si>
  <si>
    <t>CINTA CEFALICA</t>
  </si>
  <si>
    <t>CCF</t>
  </si>
  <si>
    <t>CENEFA</t>
  </si>
  <si>
    <t>CEN</t>
  </si>
  <si>
    <t>CHALECO</t>
  </si>
  <si>
    <t>CHA</t>
  </si>
  <si>
    <t>CLAPPERS LED</t>
  </si>
  <si>
    <t>CLA</t>
  </si>
  <si>
    <t>CUCHARA MEDIDORA</t>
  </si>
  <si>
    <t>CMD</t>
  </si>
  <si>
    <t>COMPUTADORA</t>
  </si>
  <si>
    <t>CMP</t>
  </si>
  <si>
    <t>COMEDERO</t>
  </si>
  <si>
    <t>CMR</t>
  </si>
  <si>
    <t>CINTA MÉTRICA INTELIGENTE</t>
  </si>
  <si>
    <t>CMT</t>
  </si>
  <si>
    <t>CARTEL DE NEON</t>
  </si>
  <si>
    <t>CNN</t>
  </si>
  <si>
    <t>COASTER</t>
  </si>
  <si>
    <t>COA</t>
  </si>
  <si>
    <t>COCKTAIL SET</t>
  </si>
  <si>
    <t>COC</t>
  </si>
  <si>
    <t>COLLAR</t>
  </si>
  <si>
    <t>COL</t>
  </si>
  <si>
    <t>CARRY ON</t>
  </si>
  <si>
    <t>CON</t>
  </si>
  <si>
    <t>COOLER BAG</t>
  </si>
  <si>
    <t>COO</t>
  </si>
  <si>
    <t>COPA</t>
  </si>
  <si>
    <t>COP</t>
  </si>
  <si>
    <t>COVER</t>
  </si>
  <si>
    <t>COV</t>
  </si>
  <si>
    <t>CARPA</t>
  </si>
  <si>
    <t>CRP</t>
  </si>
  <si>
    <t>CARRITO</t>
  </si>
  <si>
    <t>CRT</t>
  </si>
  <si>
    <t>CARTUCHERA</t>
  </si>
  <si>
    <t>CTC</t>
  </si>
  <si>
    <t>CARTEL</t>
  </si>
  <si>
    <t>CTL</t>
  </si>
  <si>
    <t>CUBIERTOS</t>
  </si>
  <si>
    <t>CUB</t>
  </si>
  <si>
    <t>CUCHARA</t>
  </si>
  <si>
    <t>CUC</t>
  </si>
  <si>
    <t>DELANTAL</t>
  </si>
  <si>
    <t>DEL</t>
  </si>
  <si>
    <t>DESTAPADOR</t>
  </si>
  <si>
    <t>DES</t>
  </si>
  <si>
    <t>DOMINO</t>
  </si>
  <si>
    <t>DMN</t>
  </si>
  <si>
    <t>DRAWSTRING BAG</t>
  </si>
  <si>
    <t>DRA</t>
  </si>
  <si>
    <t>DISFRAZ INFLABLE</t>
  </si>
  <si>
    <t>DSF</t>
  </si>
  <si>
    <t>DISPLAY SAMSUNG</t>
  </si>
  <si>
    <t>DSP</t>
  </si>
  <si>
    <t>ESTUCHE</t>
  </si>
  <si>
    <t>EST</t>
  </si>
  <si>
    <t>FLOWER POT</t>
  </si>
  <si>
    <t>FLO</t>
  </si>
  <si>
    <t>FOAMBOARD</t>
  </si>
  <si>
    <t>FOA</t>
  </si>
  <si>
    <t>FRISBEE</t>
  </si>
  <si>
    <t>FRI</t>
  </si>
  <si>
    <t>FUENTE GATO</t>
  </si>
  <si>
    <t>FUE</t>
  </si>
  <si>
    <t>SET DE GEOMETRIA</t>
  </si>
  <si>
    <t>GEO</t>
  </si>
  <si>
    <t>GLOBO DE LATEX</t>
  </si>
  <si>
    <t>GLB</t>
  </si>
  <si>
    <t>GLORIFICADOR</t>
  </si>
  <si>
    <t>GLO</t>
  </si>
  <si>
    <t>GORRA MEDICA</t>
  </si>
  <si>
    <t>GOR</t>
  </si>
  <si>
    <t>GORRA</t>
  </si>
  <si>
    <t>GRR</t>
  </si>
  <si>
    <t>GUANTE</t>
  </si>
  <si>
    <t>GUA</t>
  </si>
  <si>
    <t>HERMETICO</t>
  </si>
  <si>
    <t>HER</t>
  </si>
  <si>
    <t>MOLDE HIELO SILICONA</t>
  </si>
  <si>
    <t>HIE</t>
  </si>
  <si>
    <t>HIELERA</t>
  </si>
  <si>
    <t>HLR</t>
  </si>
  <si>
    <t>HOODIE</t>
  </si>
  <si>
    <t>HOD</t>
  </si>
  <si>
    <t>HOLOGRAMA</t>
  </si>
  <si>
    <t>HOL</t>
  </si>
  <si>
    <t>JACKET</t>
  </si>
  <si>
    <t>JAC</t>
  </si>
  <si>
    <t>JARRA</t>
  </si>
  <si>
    <t>JAR</t>
  </si>
  <si>
    <t>JIGGER</t>
  </si>
  <si>
    <t>JIG</t>
  </si>
  <si>
    <t>JUEGO PARA GATO</t>
  </si>
  <si>
    <t>JUE</t>
  </si>
  <si>
    <t>JUGUETE</t>
  </si>
  <si>
    <t>JUG</t>
  </si>
  <si>
    <t>LANYARD</t>
  </si>
  <si>
    <t>LAN</t>
  </si>
  <si>
    <t>LAPICERO</t>
  </si>
  <si>
    <t>LAP</t>
  </si>
  <si>
    <t>LAZO DE REGALO</t>
  </si>
  <si>
    <t>LAZ</t>
  </si>
  <si>
    <t>LONCHERA</t>
  </si>
  <si>
    <t>LCH</t>
  </si>
  <si>
    <t>LENTES</t>
  </si>
  <si>
    <t>LEN</t>
  </si>
  <si>
    <t>LETRERO NEON</t>
  </si>
  <si>
    <t>LET</t>
  </si>
  <si>
    <t>LIBRETA</t>
  </si>
  <si>
    <t>LIB</t>
  </si>
  <si>
    <t>SET LIMPIEZA</t>
  </si>
  <si>
    <t>LIM</t>
  </si>
  <si>
    <t>LINTERNA</t>
  </si>
  <si>
    <t>LIN</t>
  </si>
  <si>
    <t>LLAVERO</t>
  </si>
  <si>
    <t>LLA</t>
  </si>
  <si>
    <t>LONA</t>
  </si>
  <si>
    <t>LON</t>
  </si>
  <si>
    <t>LIMPIA PATAS</t>
  </si>
  <si>
    <t>LPT</t>
  </si>
  <si>
    <t>MANTA</t>
  </si>
  <si>
    <t>MAN</t>
  </si>
  <si>
    <t>MEDIAS</t>
  </si>
  <si>
    <t>MED</t>
  </si>
  <si>
    <t>KIT MIXOLOGIA</t>
  </si>
  <si>
    <t>MIX</t>
  </si>
  <si>
    <t>MASON JAR</t>
  </si>
  <si>
    <t>MJR</t>
  </si>
  <si>
    <t>MINI LÁMPARA USB</t>
  </si>
  <si>
    <t>MLA</t>
  </si>
  <si>
    <t>MOSCOW MULE</t>
  </si>
  <si>
    <t>MMU</t>
  </si>
  <si>
    <t>MOBILIARIO</t>
  </si>
  <si>
    <t>MOB</t>
  </si>
  <si>
    <t>MOCHILA</t>
  </si>
  <si>
    <t>MOC</t>
  </si>
  <si>
    <t>MONITOR</t>
  </si>
  <si>
    <t>MON</t>
  </si>
  <si>
    <t>ANTI-SLIP MUG</t>
  </si>
  <si>
    <t>MUG</t>
  </si>
  <si>
    <t>NOTEBOOK</t>
  </si>
  <si>
    <t>NOT</t>
  </si>
  <si>
    <t>PAÑOLETA</t>
  </si>
  <si>
    <t>PAN</t>
  </si>
  <si>
    <t>PARAGUAS</t>
  </si>
  <si>
    <t>PAR</t>
  </si>
  <si>
    <t>PAPEL DE CAMILLA</t>
  </si>
  <si>
    <t>PCM</t>
  </si>
  <si>
    <t>PELOTA</t>
  </si>
  <si>
    <t>PEL</t>
  </si>
  <si>
    <t>PORTA GAFETE</t>
  </si>
  <si>
    <t>PGF</t>
  </si>
  <si>
    <t>PHONE HOLDER</t>
  </si>
  <si>
    <t>PHH</t>
  </si>
  <si>
    <t>PIN</t>
  </si>
  <si>
    <t>PIZARRA MAGNETICA</t>
  </si>
  <si>
    <t>PIZ</t>
  </si>
  <si>
    <t>PLATO</t>
  </si>
  <si>
    <t>PLA</t>
  </si>
  <si>
    <t>PELUCHE</t>
  </si>
  <si>
    <t>PLC</t>
  </si>
  <si>
    <t>MEDIA PLAYER</t>
  </si>
  <si>
    <t>PLY</t>
  </si>
  <si>
    <t>PLACA METALICA</t>
  </si>
  <si>
    <t>PMT</t>
  </si>
  <si>
    <t>PANTALLA</t>
  </si>
  <si>
    <t>PNT</t>
  </si>
  <si>
    <t>POP SOCKET</t>
  </si>
  <si>
    <t>POP</t>
  </si>
  <si>
    <t>POSAVASOS</t>
  </si>
  <si>
    <t>POS</t>
  </si>
  <si>
    <t>POURER</t>
  </si>
  <si>
    <t>POU</t>
  </si>
  <si>
    <t>POWER BANK</t>
  </si>
  <si>
    <t>POW</t>
  </si>
  <si>
    <t>PELOTA ANTI ESTRES</t>
  </si>
  <si>
    <t>PST</t>
  </si>
  <si>
    <t>PORTA TARJETA CON SOPORTE CELULAR</t>
  </si>
  <si>
    <t>PTJ</t>
  </si>
  <si>
    <t>PULSERA CON LUZ LED</t>
  </si>
  <si>
    <t>PUL</t>
  </si>
  <si>
    <t>RECIPIENTE</t>
  </si>
  <si>
    <t>REC</t>
  </si>
  <si>
    <t>T SHIRT</t>
  </si>
  <si>
    <t>TSH</t>
  </si>
  <si>
    <t>ROTULO</t>
  </si>
  <si>
    <t>ROT</t>
  </si>
  <si>
    <t>SANDWICHERA</t>
  </si>
  <si>
    <t>SAN</t>
  </si>
  <si>
    <t>SOMBRERO</t>
  </si>
  <si>
    <t>SBR</t>
  </si>
  <si>
    <t>SILLA PLAYERA CON COOLER</t>
  </si>
  <si>
    <t>SCO</t>
  </si>
  <si>
    <t>SELLO</t>
  </si>
  <si>
    <t>SEL</t>
  </si>
  <si>
    <t>SERVILLETERO</t>
  </si>
  <si>
    <t>SER</t>
  </si>
  <si>
    <t>SHAKER</t>
  </si>
  <si>
    <t>SHA</t>
  </si>
  <si>
    <t>SILLA DE PLAYA</t>
  </si>
  <si>
    <t>SIL</t>
  </si>
  <si>
    <t>SIPPY CUP</t>
  </si>
  <si>
    <t>SIP</t>
  </si>
  <si>
    <t>SODA CAN</t>
  </si>
  <si>
    <t>SOD</t>
  </si>
  <si>
    <t>SOMBRILLA</t>
  </si>
  <si>
    <t>SOM</t>
  </si>
  <si>
    <t>SOPORTE DE CELULAR</t>
  </si>
  <si>
    <t>SOP</t>
  </si>
  <si>
    <t>SPEAKER PORTÁTIL</t>
  </si>
  <si>
    <t>SPE</t>
  </si>
  <si>
    <t>LEMON SQUIZZER</t>
  </si>
  <si>
    <t>SQU</t>
  </si>
  <si>
    <t>STICKERS</t>
  </si>
  <si>
    <t>STC</t>
  </si>
  <si>
    <t>STIRRER</t>
  </si>
  <si>
    <t>STI</t>
  </si>
  <si>
    <t>SWEATER</t>
  </si>
  <si>
    <t>SUE</t>
  </si>
  <si>
    <t>SUJETADOR CABLE</t>
  </si>
  <si>
    <t>SUJ</t>
  </si>
  <si>
    <t>TABLERO NEON</t>
  </si>
  <si>
    <t>TAB</t>
  </si>
  <si>
    <t>TACHO</t>
  </si>
  <si>
    <t>TAC</t>
  </si>
  <si>
    <t>TAZA</t>
  </si>
  <si>
    <t>TAZ</t>
  </si>
  <si>
    <t>TAZA CON CUCHARA</t>
  </si>
  <si>
    <t>TCH</t>
  </si>
  <si>
    <t>TERMO</t>
  </si>
  <si>
    <t>TER</t>
  </si>
  <si>
    <t>TABLA PARA HOJA</t>
  </si>
  <si>
    <t>THJ</t>
  </si>
  <si>
    <t>TOALLA</t>
  </si>
  <si>
    <t>TOA</t>
  </si>
  <si>
    <t>TOTE BAG</t>
  </si>
  <si>
    <t>TOT</t>
  </si>
  <si>
    <t>TUMBLER</t>
  </si>
  <si>
    <t>TUM</t>
  </si>
  <si>
    <t>UNTADOR</t>
  </si>
  <si>
    <t>UNT</t>
  </si>
  <si>
    <t>VASO ACRILICO</t>
  </si>
  <si>
    <t>VAC</t>
  </si>
  <si>
    <t>SET DE VAJILLA</t>
  </si>
  <si>
    <t>VAJ</t>
  </si>
  <si>
    <t>MINI ECO VAP</t>
  </si>
  <si>
    <t>VAP</t>
  </si>
  <si>
    <t>VASO</t>
  </si>
  <si>
    <t>VAS</t>
  </si>
  <si>
    <t>VASO BIODEGRADABLE</t>
  </si>
  <si>
    <t>VBD</t>
  </si>
  <si>
    <t>VASO CON CARRIZO</t>
  </si>
  <si>
    <t>VCC</t>
  </si>
  <si>
    <t>VASO CERAMICA</t>
  </si>
  <si>
    <t>VCM</t>
  </si>
  <si>
    <t>VASO ILUMINADO</t>
  </si>
  <si>
    <t>VIL</t>
  </si>
  <si>
    <t>YOGA MAT</t>
  </si>
  <si>
    <t>YOG</t>
  </si>
  <si>
    <t>YOYO</t>
  </si>
  <si>
    <t>YOY</t>
  </si>
  <si>
    <t xml:space="preserve">PORTA QUESOS </t>
  </si>
  <si>
    <t>PTQ</t>
  </si>
  <si>
    <t>CUCHARON</t>
  </si>
  <si>
    <t>CCR</t>
  </si>
  <si>
    <t xml:space="preserve">TABLA PARA QUESOS </t>
  </si>
  <si>
    <t>TPQ</t>
  </si>
  <si>
    <t xml:space="preserve">BOLA DE NAVIDAD </t>
  </si>
  <si>
    <t xml:space="preserve">ESTRELLA DE NAVIDAD </t>
  </si>
  <si>
    <t>EDN</t>
  </si>
  <si>
    <t xml:space="preserve">ARBOL DE NAVIDAD 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</si>
  <si>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</si>
  <si>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</si>
  <si>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</si>
  <si>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</si>
  <si>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</si>
  <si>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</si>
  <si>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</si>
  <si>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</si>
  <si>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</si>
  <si>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</si>
  <si>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</si>
  <si>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ARGENTINA</t>
  </si>
  <si>
    <t>AR</t>
  </si>
  <si>
    <t>BAHAMAS</t>
  </si>
  <si>
    <t>BH</t>
  </si>
  <si>
    <t>BRASIL</t>
  </si>
  <si>
    <t>BR</t>
  </si>
  <si>
    <t>CHILE</t>
  </si>
  <si>
    <t>CH</t>
  </si>
  <si>
    <t>CHINA</t>
  </si>
  <si>
    <t>CN</t>
  </si>
  <si>
    <t>COLOMBIA</t>
  </si>
  <si>
    <t>CO</t>
  </si>
  <si>
    <t>COSTA RICA</t>
  </si>
  <si>
    <t>CR</t>
  </si>
  <si>
    <t>EL SALVADOR</t>
  </si>
  <si>
    <t>SV</t>
  </si>
  <si>
    <t>ESPAÑA</t>
  </si>
  <si>
    <t>ESP</t>
  </si>
  <si>
    <t>ESTADOS UNIDOS</t>
  </si>
  <si>
    <t>USA</t>
  </si>
  <si>
    <t>GUATEMALA</t>
  </si>
  <si>
    <t>GT</t>
  </si>
  <si>
    <t>GUYANA</t>
  </si>
  <si>
    <t>GUY</t>
  </si>
  <si>
    <t>HONDURAS</t>
  </si>
  <si>
    <t>HN</t>
  </si>
  <si>
    <t>JAMAICA</t>
  </si>
  <si>
    <t>JM</t>
  </si>
  <si>
    <t>MEXICO</t>
  </si>
  <si>
    <t>MX</t>
  </si>
  <si>
    <t>NICARAGUA</t>
  </si>
  <si>
    <t>NI</t>
  </si>
  <si>
    <t>PANAMA</t>
  </si>
  <si>
    <t>PA</t>
  </si>
  <si>
    <t>PUERTO RICO</t>
  </si>
  <si>
    <t>PR</t>
  </si>
  <si>
    <t>R. DOMINICANA</t>
  </si>
  <si>
    <t>RD</t>
  </si>
  <si>
    <t>TRINIDAD Y TOBAGO</t>
  </si>
  <si>
    <t>TT</t>
  </si>
  <si>
    <t>URUGUAY</t>
  </si>
  <si>
    <t>UY</t>
  </si>
  <si>
    <t>VENEZUELA</t>
  </si>
  <si>
    <t>VE</t>
  </si>
  <si>
    <t>RESP</t>
  </si>
  <si>
    <t>MACHE</t>
  </si>
  <si>
    <t>M</t>
  </si>
  <si>
    <t>CRIS</t>
  </si>
  <si>
    <t>C</t>
  </si>
  <si>
    <t>GONZALO</t>
  </si>
  <si>
    <t>G</t>
  </si>
  <si>
    <t>VICTOR</t>
  </si>
  <si>
    <t>V</t>
  </si>
  <si>
    <t>ALE</t>
  </si>
  <si>
    <t>A</t>
  </si>
  <si>
    <t>DIANA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</si>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</sst>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8">
    <font>
      <sz val="12.0"/>
      <color theme="1"/>
      <name val="Calibri"/>
      <scheme val="minor"/>
    </font>
    <font>
      <b/>
      <sz val="15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5.0"/>
      <color theme="1"/>
      <name val="Calibri"/>
    </font>
    <font>
      <b/>
      <sz val="12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000000"/>
      <name val="&quot;Google Sans Mono&quot;"/>
    </font>
    <font>
      <sz val="14.0"/>
      <color theme="1"/>
      <name val="Calibri"/>
    </font>
    <font>
      <color theme="1"/>
      <name val="Calibri"/>
      <scheme val="minor"/>
    </font>
    <font>
      <sz val="15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2" fillId="4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5" fontId="6" numFmtId="3" xfId="0" applyAlignment="1" applyBorder="1" applyFill="1" applyFont="1" applyNumberFormat="1">
      <alignment horizontal="center" shrinkToFit="0" wrapText="1"/>
    </xf>
    <xf borderId="4" fillId="0" fontId="7" numFmtId="0" xfId="0" applyBorder="1" applyFont="1"/>
    <xf borderId="1" fillId="4" fontId="2" numFmtId="0" xfId="0" applyAlignment="1" applyBorder="1" applyFont="1">
      <alignment horizontal="left" shrinkToFit="0" vertical="center" wrapText="1"/>
    </xf>
    <xf borderId="5" fillId="6" fontId="8" numFmtId="3" xfId="0" applyAlignment="1" applyBorder="1" applyFill="1" applyFont="1" applyNumberForma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7" fontId="1" numFmtId="1" xfId="0" applyAlignment="1" applyBorder="1" applyFill="1" applyFont="1" applyNumberFormat="1">
      <alignment horizontal="center" shrinkToFit="0" vertical="center" wrapText="1"/>
    </xf>
    <xf borderId="9" fillId="0" fontId="7" numFmtId="0" xfId="0" applyBorder="1" applyFont="1"/>
    <xf borderId="2" fillId="5" fontId="6" numFmtId="0" xfId="0" applyAlignment="1" applyBorder="1" applyFont="1">
      <alignment horizontal="center" shrinkToFit="0" wrapText="1"/>
    </xf>
    <xf borderId="10" fillId="7" fontId="9" numFmtId="1" xfId="0" applyAlignment="1" applyBorder="1" applyFont="1" applyNumberFormat="1">
      <alignment horizontal="center" shrinkToFit="0" vertical="center" wrapText="1"/>
    </xf>
    <xf borderId="11" fillId="6" fontId="9" numFmtId="3" xfId="0" applyAlignment="1" applyBorder="1" applyFont="1" applyNumberForma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12" fillId="6" fontId="9" numFmtId="164" xfId="0" applyAlignment="1" applyBorder="1" applyFont="1" applyNumberFormat="1">
      <alignment horizontal="center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4" fillId="7" fontId="9" numFmtId="0" xfId="0" applyAlignment="1" applyBorder="1" applyFont="1">
      <alignment horizontal="center" shrinkToFit="0" vertical="center" wrapText="1"/>
    </xf>
    <xf borderId="15" fillId="8" fontId="9" numFmtId="0" xfId="0" applyAlignment="1" applyBorder="1" applyFill="1" applyFont="1">
      <alignment horizontal="center" shrinkToFit="0" vertical="center" wrapText="1"/>
    </xf>
    <xf borderId="15" fillId="9" fontId="9" numFmtId="0" xfId="0" applyAlignment="1" applyBorder="1" applyFill="1" applyFont="1">
      <alignment horizontal="center" shrinkToFit="0" vertical="center" wrapText="1"/>
    </xf>
    <xf borderId="14" fillId="9" fontId="9" numFmtId="0" xfId="0" applyAlignment="1" applyBorder="1" applyFont="1">
      <alignment horizontal="center" readingOrder="0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1" fillId="10" fontId="1" numFmtId="1" xfId="0" applyAlignment="1" applyBorder="1" applyFill="1" applyFont="1" applyNumberForma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1" fillId="11" fontId="8" numFmtId="164" xfId="0" applyAlignment="1" applyBorder="1" applyFont="1" applyNumberFormat="1">
      <alignment horizontal="center" shrinkToFit="0" vertical="center" wrapText="1"/>
    </xf>
    <xf borderId="1" fillId="11" fontId="9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" fillId="8" fontId="9" numFmtId="0" xfId="0" applyAlignment="1" applyBorder="1" applyFont="1">
      <alignment horizontal="center" readingOrder="0" shrinkToFit="0" vertical="center" wrapText="1"/>
    </xf>
    <xf borderId="15" fillId="8" fontId="9" numFmtId="0" xfId="0" applyAlignment="1" applyBorder="1" applyFont="1">
      <alignment horizontal="center" readingOrder="0" shrinkToFit="0" vertical="center" wrapText="1"/>
    </xf>
    <xf borderId="15" fillId="9" fontId="9" numFmtId="0" xfId="0" applyAlignment="1" applyBorder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17" fillId="8" fontId="1" numFmtId="1" xfId="0" applyAlignment="1" applyBorder="1" applyFont="1" applyNumberFormat="1">
      <alignment horizontal="center" readingOrder="0" shrinkToFit="0" vertical="center" wrapText="1"/>
    </xf>
    <xf borderId="18" fillId="8" fontId="10" numFmtId="165" xfId="0" applyAlignment="1" applyBorder="1" applyFont="1" applyNumberFormat="1">
      <alignment horizontal="center" readingOrder="0" shrinkToFit="0" vertical="center" wrapText="1"/>
    </xf>
    <xf borderId="1" fillId="12" fontId="3" numFmtId="0" xfId="0" applyAlignment="1" applyBorder="1" applyFill="1" applyFont="1">
      <alignment horizontal="center" readingOrder="0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12" fontId="3" numFmtId="165" xfId="0" applyAlignment="1" applyBorder="1" applyFont="1" applyNumberFormat="1">
      <alignment horizontal="center" shrinkToFit="0" vertical="center" wrapText="1"/>
    </xf>
    <xf borderId="1" fillId="12" fontId="3" numFmtId="1" xfId="0" applyAlignment="1" applyBorder="1" applyFont="1" applyNumberFormat="1">
      <alignment horizontal="center" shrinkToFit="0" vertical="center" wrapText="1"/>
    </xf>
    <xf borderId="1" fillId="8" fontId="3" numFmtId="1" xfId="0" applyAlignment="1" applyBorder="1" applyFont="1" applyNumberFormat="1">
      <alignment horizontal="center" shrinkToFit="0" vertical="center" wrapText="1"/>
    </xf>
    <xf borderId="1" fillId="8" fontId="3" numFmtId="3" xfId="0" applyAlignment="1" applyBorder="1" applyFont="1" applyNumberFormat="1">
      <alignment horizontal="center" shrinkToFit="0" vertical="center" wrapText="1"/>
    </xf>
    <xf borderId="1" fillId="13" fontId="3" numFmtId="1" xfId="0" applyAlignment="1" applyBorder="1" applyFont="1" applyNumberFormat="1">
      <alignment horizontal="center" shrinkToFit="0" vertical="center" wrapText="1"/>
    </xf>
    <xf borderId="1" fillId="13" fontId="3" numFmtId="1" xfId="0" applyAlignment="1" applyBorder="1" applyFont="1" applyNumberFormat="1">
      <alignment horizontal="center" readingOrder="0" shrinkToFit="0" vertical="center" wrapText="1"/>
    </xf>
    <xf borderId="19" fillId="12" fontId="3" numFmtId="4" xfId="0" applyAlignment="1" applyBorder="1" applyFont="1" applyNumberFormat="1">
      <alignment horizontal="center" shrinkToFit="0" vertical="center" wrapText="1"/>
    </xf>
    <xf borderId="1" fillId="12" fontId="3" numFmtId="3" xfId="0" applyAlignment="1" applyBorder="1" applyFont="1" applyNumberFormat="1">
      <alignment horizontal="center" shrinkToFit="0" vertical="center" wrapText="1"/>
    </xf>
    <xf borderId="1" fillId="12" fontId="3" numFmtId="4" xfId="0" applyAlignment="1" applyBorder="1" applyFont="1" applyNumberFormat="1">
      <alignment horizontal="center" shrinkToFit="0" vertical="center" wrapText="1"/>
    </xf>
    <xf borderId="20" fillId="7" fontId="10" numFmtId="165" xfId="0" applyAlignment="1" applyBorder="1" applyFont="1" applyNumberFormat="1">
      <alignment horizontal="center" shrinkToFit="0" vertical="center" wrapText="1"/>
    </xf>
    <xf borderId="18" fillId="7" fontId="10" numFmtId="165" xfId="0" applyAlignment="1" applyBorder="1" applyFont="1" applyNumberFormat="1">
      <alignment horizontal="center" shrinkToFit="0" vertical="center" wrapText="1"/>
    </xf>
    <xf borderId="21" fillId="7" fontId="10" numFmtId="1" xfId="0" applyAlignment="1" applyBorder="1" applyFont="1" applyNumberFormat="1">
      <alignment horizontal="center" shrinkToFit="0" vertical="center" wrapText="1"/>
    </xf>
    <xf borderId="21" fillId="7" fontId="10" numFmtId="165" xfId="0" applyAlignment="1" applyBorder="1" applyFont="1" applyNumberFormat="1">
      <alignment horizontal="center" shrinkToFit="0" vertical="center" wrapText="1"/>
    </xf>
    <xf borderId="22" fillId="7" fontId="10" numFmtId="165" xfId="0" applyAlignment="1" applyBorder="1" applyFont="1" applyNumberFormat="1">
      <alignment horizontal="center" shrinkToFit="0" vertical="center" wrapText="1"/>
    </xf>
    <xf borderId="23" fillId="8" fontId="3" numFmtId="165" xfId="0" applyAlignment="1" applyBorder="1" applyFont="1" applyNumberFormat="1">
      <alignment horizontal="center" readingOrder="0" shrinkToFit="0" vertical="center" wrapText="1"/>
    </xf>
    <xf borderId="22" fillId="8" fontId="3" numFmtId="165" xfId="0" applyAlignment="1" applyBorder="1" applyFont="1" applyNumberFormat="1">
      <alignment horizontal="center" readingOrder="0" shrinkToFit="0" vertical="center" wrapText="1"/>
    </xf>
    <xf borderId="22" fillId="9" fontId="3" numFmtId="165" xfId="0" applyAlignment="1" applyBorder="1" applyFont="1" applyNumberFormat="1">
      <alignment horizontal="center" shrinkToFit="0" vertical="center" wrapText="1"/>
    </xf>
    <xf borderId="24" fillId="9" fontId="3" numFmtId="165" xfId="0" applyAlignment="1" applyBorder="1" applyFont="1" applyNumberFormat="1">
      <alignment horizontal="center" shrinkToFit="0" vertical="center" wrapText="1"/>
    </xf>
    <xf borderId="1" fillId="9" fontId="3" numFmtId="165" xfId="0" applyAlignment="1" applyBorder="1" applyFont="1" applyNumberFormat="1">
      <alignment horizontal="center" shrinkToFit="0" vertical="center" wrapText="1"/>
    </xf>
    <xf borderId="1" fillId="9" fontId="12" numFmtId="1" xfId="0" applyAlignment="1" applyBorder="1" applyFont="1" applyNumberFormat="1">
      <alignment horizontal="center" vertical="center"/>
    </xf>
    <xf borderId="1" fillId="8" fontId="5" numFmtId="165" xfId="0" applyAlignment="1" applyBorder="1" applyFont="1" applyNumberFormat="1">
      <alignment horizontal="center" shrinkToFit="0" vertical="center" wrapText="1"/>
    </xf>
    <xf borderId="0" fillId="9" fontId="3" numFmtId="165" xfId="0" applyAlignment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25" fillId="12" fontId="3" numFmtId="0" xfId="0" applyAlignment="1" applyBorder="1" applyFont="1">
      <alignment horizontal="center" shrinkToFit="0" vertical="center" wrapText="1"/>
    </xf>
    <xf borderId="19" fillId="12" fontId="13" numFmtId="4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shrinkToFit="0" wrapText="1"/>
    </xf>
    <xf borderId="0" fillId="0" fontId="3" numFmtId="164" xfId="0" applyAlignment="1" applyFont="1" applyNumberFormat="1">
      <alignment horizontal="center" shrinkToFit="0" vertical="center" wrapText="1"/>
    </xf>
    <xf borderId="0" fillId="13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3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0" fillId="0" fontId="1" numFmtId="1" xfId="0" applyFont="1" applyNumberFormat="1"/>
    <xf borderId="0" fillId="0" fontId="14" numFmtId="0" xfId="0" applyAlignment="1" applyFont="1">
      <alignment horizontal="center" vertical="center"/>
    </xf>
    <xf borderId="0" fillId="0" fontId="15" numFmtId="0" xfId="0" applyFont="1"/>
    <xf borderId="0" fillId="0" fontId="3" numFmtId="0" xfId="0" applyAlignment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left" vertical="bottom"/>
    </xf>
    <xf borderId="7" fillId="8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vertical="bottom"/>
    </xf>
    <xf borderId="20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1" fillId="14" fontId="3" numFmtId="0" xfId="0" applyAlignment="1" applyBorder="1" applyFill="1" applyFont="1">
      <alignment horizontal="left" readingOrder="0" vertical="bottom"/>
    </xf>
    <xf borderId="20" fillId="0" fontId="3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horizontal="left" readingOrder="0" vertical="bottom"/>
    </xf>
    <xf borderId="1" fillId="13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20" fillId="0" fontId="3" numFmtId="0" xfId="0" applyAlignment="1" applyBorder="1" applyFont="1">
      <alignment vertical="bottom"/>
    </xf>
    <xf borderId="16" fillId="0" fontId="3" numFmtId="0" xfId="0" applyAlignment="1" applyBorder="1" applyFont="1">
      <alignment horizontal="center"/>
    </xf>
    <xf borderId="0" fillId="0" fontId="3" numFmtId="0" xfId="0" applyAlignment="1" applyFont="1">
      <alignment horizontal="left" vertical="bottom"/>
    </xf>
    <xf borderId="1" fillId="15" fontId="16" numFmtId="0" xfId="0" applyAlignment="1" applyBorder="1" applyFill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/>
    </xf>
    <xf borderId="1" fillId="0" fontId="14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4962525" cy="419100"/>
    <xdr:sp>
      <xdr:nvSpPr>
        <xdr:cNvPr id="3" name="Shape 3"/>
        <xdr:cNvSpPr/>
      </xdr:nvSpPr>
      <xdr:spPr>
        <a:xfrm>
          <a:off x="2869500" y="3575213"/>
          <a:ext cx="4953000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4000" cap="none">
              <a:solidFill>
                <a:schemeClr val="dk1"/>
              </a:solidFill>
            </a:rPr>
            <a:t>THANKS FOR FILLING !!!!</a:t>
          </a:r>
          <a:endParaRPr sz="1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90525" cy="390525"/>
    <xdr:sp>
      <xdr:nvSpPr>
        <xdr:cNvPr descr="ont touch Stock Vectors, Royalty Free Dont touch Illustrations |  De" id="4" name="Shape 4"/>
        <xdr:cNvSpPr/>
      </xdr:nvSpPr>
      <xdr:spPr>
        <a:xfrm>
          <a:off x="5155500" y="3589500"/>
          <a:ext cx="381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0</xdr:colOff>
      <xdr:row>1</xdr:row>
      <xdr:rowOff>0</xdr:rowOff>
    </xdr:from>
    <xdr:ext cx="390525" cy="390525"/>
    <xdr:sp>
      <xdr:nvSpPr>
        <xdr:cNvPr descr="ont touch Stock Vectors, Royalty Free Dont touch Illustrations |  De" id="4" name="Shape 4"/>
        <xdr:cNvSpPr/>
      </xdr:nvSpPr>
      <xdr:spPr>
        <a:xfrm>
          <a:off x="5155500" y="3589500"/>
          <a:ext cx="381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209550</xdr:colOff>
      <xdr:row>0</xdr:row>
      <xdr:rowOff>0</xdr:rowOff>
    </xdr:from>
    <xdr:ext cx="9239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1133475</xdr:colOff>
      <xdr:row>0</xdr:row>
      <xdr:rowOff>171450</xdr:rowOff>
    </xdr:from>
    <xdr:ext cx="504825" cy="4953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0</xdr:rowOff>
    </xdr:from>
    <xdr:ext cx="323850" cy="323850"/>
    <xdr:sp>
      <xdr:nvSpPr>
        <xdr:cNvPr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0</xdr:rowOff>
    </xdr:from>
    <xdr:ext cx="323850" cy="323850"/>
    <xdr:sp>
      <xdr:nvSpPr>
        <xdr:cNvPr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7.67"/>
    <col customWidth="1" min="2" max="2" width="9.33"/>
    <col customWidth="1" min="3" max="6" width="14.44"/>
    <col customWidth="1" min="7" max="10" width="26.44"/>
    <col customWidth="1" min="11" max="22" width="10.44"/>
    <col customWidth="1" min="23" max="23" width="4.78"/>
    <col customWidth="1" min="24" max="26" width="5.33"/>
    <col customWidth="1" min="27" max="27" width="4.0"/>
    <col customWidth="1" min="28" max="28" width="2.56"/>
    <col customWidth="1" hidden="1" min="29" max="33" width="11.67"/>
    <col customWidth="1" min="34" max="35" width="16.11"/>
    <col customWidth="1" hidden="1" min="36" max="39" width="16.11"/>
    <col customWidth="1" hidden="1" min="40" max="40" width="24.22"/>
    <col customWidth="1" min="41" max="41" width="31.11"/>
    <col customWidth="1" hidden="1" min="42" max="43" width="31.11"/>
    <col customWidth="1" hidden="1" min="44" max="45" width="16.11"/>
  </cols>
  <sheetData>
    <row r="1" ht="37.5" customHeight="1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</row>
    <row r="2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5" t="s">
        <v>2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</row>
    <row r="3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3</v>
      </c>
      <c r="X3" s="19"/>
      <c r="Y3" s="19"/>
      <c r="Z3" s="19"/>
      <c r="AA3" s="20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</row>
    <row r="4">
      <c r="A4" s="21"/>
      <c r="B4" s="22"/>
      <c r="C4" s="23" t="s">
        <v>2</v>
      </c>
      <c r="D4" s="23" t="s">
        <v>2</v>
      </c>
      <c r="E4" s="23" t="s">
        <v>2</v>
      </c>
      <c r="F4" s="23" t="s">
        <v>2</v>
      </c>
      <c r="G4" s="24" t="s">
        <v>4</v>
      </c>
      <c r="H4" s="24" t="s">
        <v>4</v>
      </c>
      <c r="I4" s="23" t="s">
        <v>2</v>
      </c>
      <c r="J4" s="23" t="s">
        <v>2</v>
      </c>
      <c r="K4" s="23" t="s">
        <v>2</v>
      </c>
      <c r="L4" s="23" t="s">
        <v>2</v>
      </c>
      <c r="M4" s="23" t="s">
        <v>2</v>
      </c>
      <c r="N4" s="23" t="s">
        <v>2</v>
      </c>
      <c r="O4" s="23" t="s">
        <v>2</v>
      </c>
      <c r="P4" s="23" t="s">
        <v>2</v>
      </c>
      <c r="Q4" s="23" t="s">
        <v>2</v>
      </c>
      <c r="R4" s="23" t="s">
        <v>2</v>
      </c>
      <c r="S4" s="23" t="s">
        <v>2</v>
      </c>
      <c r="T4" s="23" t="s">
        <v>2</v>
      </c>
      <c r="U4" s="24" t="s">
        <v>4</v>
      </c>
      <c r="V4" s="23" t="s">
        <v>2</v>
      </c>
      <c r="W4" s="25"/>
      <c r="X4" s="26" t="s">
        <v>5</v>
      </c>
      <c r="Y4" s="19"/>
      <c r="Z4" s="20"/>
      <c r="AA4" s="27"/>
      <c r="AB4" s="28"/>
      <c r="AC4" s="29" t="s">
        <v>6</v>
      </c>
      <c r="AD4" s="29" t="s">
        <v>7</v>
      </c>
      <c r="AE4" s="29" t="s">
        <v>8</v>
      </c>
      <c r="AF4" s="29" t="s">
        <v>9</v>
      </c>
      <c r="AG4" s="29" t="s">
        <v>10</v>
      </c>
      <c r="AH4" s="30"/>
      <c r="AI4" s="30"/>
      <c r="AJ4" s="31"/>
      <c r="AK4" s="31"/>
      <c r="AL4" s="31"/>
      <c r="AM4" s="32" t="s">
        <v>11</v>
      </c>
      <c r="AN4" s="32" t="s">
        <v>12</v>
      </c>
      <c r="AO4" s="33" t="s">
        <v>13</v>
      </c>
      <c r="AP4" s="34"/>
      <c r="AQ4" s="34"/>
      <c r="AR4" s="34"/>
      <c r="AS4" s="34"/>
    </row>
    <row r="5">
      <c r="A5" s="35" t="s">
        <v>14</v>
      </c>
      <c r="B5" s="36" t="s">
        <v>15</v>
      </c>
      <c r="C5" s="37" t="s">
        <v>16</v>
      </c>
      <c r="D5" s="37" t="s">
        <v>17</v>
      </c>
      <c r="E5" s="37" t="s">
        <v>18</v>
      </c>
      <c r="F5" s="37" t="s">
        <v>19</v>
      </c>
      <c r="G5" s="38" t="s">
        <v>20</v>
      </c>
      <c r="H5" s="38" t="s">
        <v>21</v>
      </c>
      <c r="I5" s="39" t="s">
        <v>22</v>
      </c>
      <c r="J5" s="39" t="s">
        <v>23</v>
      </c>
      <c r="K5" s="37" t="s">
        <v>24</v>
      </c>
      <c r="L5" s="37" t="s">
        <v>25</v>
      </c>
      <c r="M5" s="37" t="s">
        <v>26</v>
      </c>
      <c r="N5" s="37" t="s">
        <v>27</v>
      </c>
      <c r="O5" s="37" t="s">
        <v>28</v>
      </c>
      <c r="P5" s="37" t="s">
        <v>29</v>
      </c>
      <c r="Q5" s="40" t="s">
        <v>30</v>
      </c>
      <c r="R5" s="37" t="s">
        <v>31</v>
      </c>
      <c r="S5" s="37" t="s">
        <v>32</v>
      </c>
      <c r="T5" s="39" t="s">
        <v>33</v>
      </c>
      <c r="U5" s="38" t="s">
        <v>34</v>
      </c>
      <c r="V5" s="41" t="s">
        <v>35</v>
      </c>
      <c r="W5" s="25" t="s">
        <v>36</v>
      </c>
      <c r="X5" s="42" t="s">
        <v>37</v>
      </c>
      <c r="Y5" s="42" t="s">
        <v>38</v>
      </c>
      <c r="Z5" s="42" t="s">
        <v>39</v>
      </c>
      <c r="AA5" s="27" t="s">
        <v>40</v>
      </c>
      <c r="AB5" s="28"/>
      <c r="AC5" s="43"/>
      <c r="AD5" s="43"/>
      <c r="AE5" s="43"/>
      <c r="AF5" s="43"/>
      <c r="AG5" s="43"/>
      <c r="AH5" s="44" t="s">
        <v>41</v>
      </c>
      <c r="AI5" s="45" t="s">
        <v>42</v>
      </c>
      <c r="AJ5" s="46" t="s">
        <v>43</v>
      </c>
      <c r="AK5" s="46" t="s">
        <v>44</v>
      </c>
      <c r="AL5" s="46" t="s">
        <v>45</v>
      </c>
      <c r="AM5" s="43"/>
      <c r="AN5" s="43"/>
      <c r="AO5" s="43"/>
      <c r="AP5" s="47" t="s">
        <v>46</v>
      </c>
      <c r="AQ5" s="47" t="s">
        <v>47</v>
      </c>
      <c r="AR5" s="34"/>
      <c r="AS5" s="34"/>
    </row>
    <row r="6" ht="71.25" customHeight="1">
      <c r="A6" s="48"/>
      <c r="B6" s="49"/>
      <c r="C6" s="50"/>
      <c r="D6" s="51"/>
      <c r="E6" s="51"/>
      <c r="F6" s="52"/>
      <c r="G6" s="53"/>
      <c r="H6" s="54"/>
      <c r="I6" s="51"/>
      <c r="J6" s="51"/>
      <c r="K6" s="55"/>
      <c r="L6" s="56"/>
      <c r="M6" s="57"/>
      <c r="N6" s="57"/>
      <c r="O6" s="58"/>
      <c r="P6" s="57"/>
      <c r="Q6" s="59"/>
      <c r="R6" s="59"/>
      <c r="S6" s="59"/>
      <c r="T6" s="60"/>
      <c r="U6" s="58"/>
      <c r="V6" s="61"/>
      <c r="W6" s="62"/>
      <c r="X6" s="63"/>
      <c r="Y6" s="63"/>
      <c r="Z6" s="63"/>
      <c r="AA6" s="63"/>
      <c r="AB6" s="64"/>
      <c r="AC6" s="65">
        <f t="shared" ref="AC6:AC48" si="1">(+X6*Y6*Z6)/1000000</f>
        <v>0</v>
      </c>
      <c r="AD6" s="66" t="str">
        <f t="shared" ref="AD6:AD48" si="2">U6/W6</f>
        <v>#DIV/0!</v>
      </c>
      <c r="AE6" s="67" t="str">
        <f t="shared" ref="AE6:AE48" si="3">+AC6*AD6</f>
        <v>#DIV/0!</v>
      </c>
      <c r="AF6" s="66" t="str">
        <f t="shared" ref="AF6:AF48" si="4">+AA6*AD6</f>
        <v>#DIV/0!</v>
      </c>
      <c r="AG6" s="68">
        <f t="shared" ref="AG6:AG48" si="5">+(AC6*1000000)/5000</f>
        <v>0</v>
      </c>
      <c r="AH6" s="69"/>
      <c r="AI6" s="70"/>
      <c r="AJ6" s="71" t="str">
        <f>VLOOKUP(AH6,'CODART PRODUCTO'!B:C,2,FALSE)</f>
        <v>#N/A</v>
      </c>
      <c r="AK6" s="72" t="str">
        <f>VLOOKUP(AI6,'CODART ORIGEN'!B:C,2,FALSE)</f>
        <v>#N/A</v>
      </c>
      <c r="AL6" s="72" t="str">
        <f>VLOOKUP(B6,'CODART RESPONSABLE'!B:C,2,FALSE)</f>
        <v>#N/A</v>
      </c>
      <c r="AM6" s="73" t="str">
        <f t="shared" ref="AM6:AM48" si="6">IF(ISERROR(UPPER(CONCATENATE($H$1,"-",AJ6,"-",AK6,"-",AL6))),"",UPPER(CONCATENATE($H$1,"-",AJ6,"-",AK6,"-",AL6)))</f>
        <v/>
      </c>
      <c r="AN6" s="74" t="str">
        <f t="shared" ref="AN6:AN48" si="7">IF(AND(U6=U7,AQ6=AQ7),"VERIFICAR CANTIDADES COTIZADAS")</f>
        <v>VERIFICAR CANTIDADES COTIZADAS</v>
      </c>
      <c r="AO6" s="75" t="str">
        <f t="shared" ref="AO6:AO48" si="8">IF(OR(ISERROR(AP6),AQ6&lt;&gt;FALSE,ISERROR(AQ6)),AQ6,AP6)</f>
        <v/>
      </c>
      <c r="AP6" s="76" t="str">
        <f t="shared" ref="AP6:AP48" si="9">IF(ISERROR(UPPER(CONCATENATE($H$1,"-",AJ6,"-",AK6,"-",AL6,A6))),"",UPPER(CONCATENATE($H$1,"-",AJ6,"-",AK6,"-",AL6,A6)))</f>
        <v/>
      </c>
      <c r="AQ6" s="76"/>
      <c r="AR6" s="76"/>
      <c r="AS6" s="76"/>
    </row>
    <row r="7" ht="71.25" customHeight="1">
      <c r="A7" s="48"/>
      <c r="B7" s="49"/>
      <c r="C7" s="51"/>
      <c r="D7" s="51"/>
      <c r="E7" s="51"/>
      <c r="F7" s="52"/>
      <c r="G7" s="53"/>
      <c r="H7" s="54"/>
      <c r="I7" s="51"/>
      <c r="J7" s="51"/>
      <c r="K7" s="55"/>
      <c r="L7" s="56"/>
      <c r="M7" s="57"/>
      <c r="N7" s="57"/>
      <c r="O7" s="58"/>
      <c r="P7" s="57"/>
      <c r="Q7" s="59"/>
      <c r="R7" s="59"/>
      <c r="S7" s="59"/>
      <c r="T7" s="60"/>
      <c r="U7" s="58"/>
      <c r="V7" s="61"/>
      <c r="W7" s="62"/>
      <c r="X7" s="63"/>
      <c r="Y7" s="63"/>
      <c r="Z7" s="63"/>
      <c r="AA7" s="63"/>
      <c r="AB7" s="64"/>
      <c r="AC7" s="65">
        <f t="shared" si="1"/>
        <v>0</v>
      </c>
      <c r="AD7" s="66" t="str">
        <f t="shared" si="2"/>
        <v>#DIV/0!</v>
      </c>
      <c r="AE7" s="67" t="str">
        <f t="shared" si="3"/>
        <v>#DIV/0!</v>
      </c>
      <c r="AF7" s="66" t="str">
        <f t="shared" si="4"/>
        <v>#DIV/0!</v>
      </c>
      <c r="AG7" s="68">
        <f t="shared" si="5"/>
        <v>0</v>
      </c>
      <c r="AH7" s="69"/>
      <c r="AI7" s="70"/>
      <c r="AJ7" s="71" t="str">
        <f>VLOOKUP(AH7,'CODART PRODUCTO'!B:C,2,FALSE)</f>
        <v>#N/A</v>
      </c>
      <c r="AK7" s="72" t="str">
        <f>VLOOKUP(AI7,'CODART ORIGEN'!B:C,2,FALSE)</f>
        <v>#N/A</v>
      </c>
      <c r="AL7" s="72" t="str">
        <f>VLOOKUP(B7,'CODART RESPONSABLE'!B:C,2,FALSE)</f>
        <v>#N/A</v>
      </c>
      <c r="AM7" s="73" t="str">
        <f t="shared" si="6"/>
        <v/>
      </c>
      <c r="AN7" s="74" t="str">
        <f t="shared" si="7"/>
        <v>VERIFICAR CANTIDADES COTIZADAS</v>
      </c>
      <c r="AO7" s="75" t="str">
        <f t="shared" si="8"/>
        <v/>
      </c>
      <c r="AP7" s="76" t="str">
        <f t="shared" si="9"/>
        <v/>
      </c>
      <c r="AQ7" s="76"/>
      <c r="AR7" s="76"/>
      <c r="AS7" s="76"/>
    </row>
    <row r="8" ht="71.25" customHeight="1">
      <c r="A8" s="48"/>
      <c r="B8" s="49"/>
      <c r="C8" s="51"/>
      <c r="D8" s="51"/>
      <c r="E8" s="51"/>
      <c r="F8" s="52"/>
      <c r="G8" s="53"/>
      <c r="H8" s="54"/>
      <c r="I8" s="51"/>
      <c r="J8" s="51"/>
      <c r="K8" s="55"/>
      <c r="L8" s="56"/>
      <c r="M8" s="57"/>
      <c r="N8" s="57"/>
      <c r="O8" s="58"/>
      <c r="P8" s="57"/>
      <c r="Q8" s="59"/>
      <c r="R8" s="59"/>
      <c r="S8" s="59"/>
      <c r="T8" s="60"/>
      <c r="U8" s="58"/>
      <c r="V8" s="61"/>
      <c r="W8" s="62"/>
      <c r="X8" s="63"/>
      <c r="Y8" s="63"/>
      <c r="Z8" s="63"/>
      <c r="AA8" s="63"/>
      <c r="AB8" s="64"/>
      <c r="AC8" s="65">
        <f t="shared" si="1"/>
        <v>0</v>
      </c>
      <c r="AD8" s="66" t="str">
        <f t="shared" si="2"/>
        <v>#DIV/0!</v>
      </c>
      <c r="AE8" s="67" t="str">
        <f t="shared" si="3"/>
        <v>#DIV/0!</v>
      </c>
      <c r="AF8" s="66" t="str">
        <f t="shared" si="4"/>
        <v>#DIV/0!</v>
      </c>
      <c r="AG8" s="68">
        <f t="shared" si="5"/>
        <v>0</v>
      </c>
      <c r="AH8" s="69"/>
      <c r="AI8" s="70"/>
      <c r="AJ8" s="71" t="str">
        <f>VLOOKUP(AH8,'CODART PRODUCTO'!B:C,2,FALSE)</f>
        <v>#N/A</v>
      </c>
      <c r="AK8" s="72" t="str">
        <f>VLOOKUP(AI8,'CODART ORIGEN'!B:C,2,FALSE)</f>
        <v>#N/A</v>
      </c>
      <c r="AL8" s="72" t="str">
        <f>VLOOKUP(B8,'CODART RESPONSABLE'!B:C,2,FALSE)</f>
        <v>#N/A</v>
      </c>
      <c r="AM8" s="73" t="str">
        <f t="shared" si="6"/>
        <v/>
      </c>
      <c r="AN8" s="74" t="str">
        <f t="shared" si="7"/>
        <v>VERIFICAR CANTIDADES COTIZADAS</v>
      </c>
      <c r="AO8" s="75" t="str">
        <f t="shared" si="8"/>
        <v/>
      </c>
      <c r="AP8" s="76" t="str">
        <f t="shared" si="9"/>
        <v/>
      </c>
      <c r="AQ8" s="76"/>
      <c r="AR8" s="76"/>
      <c r="AS8" s="76"/>
    </row>
    <row r="9" ht="71.25" customHeight="1">
      <c r="A9" s="48"/>
      <c r="B9" s="49"/>
      <c r="C9" s="51"/>
      <c r="D9" s="51"/>
      <c r="E9" s="51"/>
      <c r="F9" s="52"/>
      <c r="G9" s="53"/>
      <c r="H9" s="54"/>
      <c r="I9" s="51"/>
      <c r="J9" s="51"/>
      <c r="K9" s="55"/>
      <c r="L9" s="56"/>
      <c r="M9" s="57"/>
      <c r="N9" s="57"/>
      <c r="O9" s="58"/>
      <c r="P9" s="57"/>
      <c r="Q9" s="59"/>
      <c r="R9" s="59"/>
      <c r="S9" s="59"/>
      <c r="T9" s="60"/>
      <c r="U9" s="58"/>
      <c r="V9" s="61"/>
      <c r="W9" s="62"/>
      <c r="X9" s="63"/>
      <c r="Y9" s="63"/>
      <c r="Z9" s="63"/>
      <c r="AA9" s="63"/>
      <c r="AB9" s="64"/>
      <c r="AC9" s="65">
        <f t="shared" si="1"/>
        <v>0</v>
      </c>
      <c r="AD9" s="66" t="str">
        <f t="shared" si="2"/>
        <v>#DIV/0!</v>
      </c>
      <c r="AE9" s="67" t="str">
        <f t="shared" si="3"/>
        <v>#DIV/0!</v>
      </c>
      <c r="AF9" s="66" t="str">
        <f t="shared" si="4"/>
        <v>#DIV/0!</v>
      </c>
      <c r="AG9" s="68">
        <f t="shared" si="5"/>
        <v>0</v>
      </c>
      <c r="AH9" s="69"/>
      <c r="AI9" s="70"/>
      <c r="AJ9" s="71" t="str">
        <f>VLOOKUP(AH9,'CODART PRODUCTO'!B:C,2,FALSE)</f>
        <v>#N/A</v>
      </c>
      <c r="AK9" s="72" t="str">
        <f>VLOOKUP(AI9,'CODART ORIGEN'!B:C,2,FALSE)</f>
        <v>#N/A</v>
      </c>
      <c r="AL9" s="72" t="str">
        <f>VLOOKUP(B9,'CODART RESPONSABLE'!B:C,2,FALSE)</f>
        <v>#N/A</v>
      </c>
      <c r="AM9" s="73" t="str">
        <f t="shared" si="6"/>
        <v/>
      </c>
      <c r="AN9" s="74" t="str">
        <f t="shared" si="7"/>
        <v>VERIFICAR CANTIDADES COTIZADAS</v>
      </c>
      <c r="AO9" s="75" t="str">
        <f t="shared" si="8"/>
        <v/>
      </c>
      <c r="AP9" s="76" t="str">
        <f t="shared" si="9"/>
        <v/>
      </c>
      <c r="AQ9" s="76"/>
      <c r="AR9" s="76"/>
      <c r="AS9" s="76"/>
    </row>
    <row r="10" ht="71.25" customHeight="1">
      <c r="A10" s="48"/>
      <c r="B10" s="49"/>
      <c r="C10" s="51"/>
      <c r="D10" s="51"/>
      <c r="E10" s="51"/>
      <c r="F10" s="52"/>
      <c r="G10" s="53"/>
      <c r="H10" s="54"/>
      <c r="I10" s="51"/>
      <c r="J10" s="51"/>
      <c r="K10" s="55"/>
      <c r="L10" s="56"/>
      <c r="M10" s="57"/>
      <c r="N10" s="57"/>
      <c r="O10" s="58"/>
      <c r="P10" s="57"/>
      <c r="Q10" s="59"/>
      <c r="R10" s="59"/>
      <c r="S10" s="59"/>
      <c r="T10" s="60"/>
      <c r="U10" s="58"/>
      <c r="V10" s="61"/>
      <c r="W10" s="62"/>
      <c r="X10" s="63"/>
      <c r="Y10" s="63"/>
      <c r="Z10" s="63"/>
      <c r="AA10" s="63"/>
      <c r="AB10" s="64"/>
      <c r="AC10" s="65">
        <f t="shared" si="1"/>
        <v>0</v>
      </c>
      <c r="AD10" s="66" t="str">
        <f t="shared" si="2"/>
        <v>#DIV/0!</v>
      </c>
      <c r="AE10" s="67" t="str">
        <f t="shared" si="3"/>
        <v>#DIV/0!</v>
      </c>
      <c r="AF10" s="66" t="str">
        <f t="shared" si="4"/>
        <v>#DIV/0!</v>
      </c>
      <c r="AG10" s="68">
        <f t="shared" si="5"/>
        <v>0</v>
      </c>
      <c r="AH10" s="69"/>
      <c r="AI10" s="70"/>
      <c r="AJ10" s="71" t="str">
        <f>VLOOKUP(AH10,'CODART PRODUCTO'!B:C,2,FALSE)</f>
        <v>#N/A</v>
      </c>
      <c r="AK10" s="72" t="str">
        <f>VLOOKUP(AI10,'CODART ORIGEN'!B:C,2,FALSE)</f>
        <v>#N/A</v>
      </c>
      <c r="AL10" s="72" t="str">
        <f>VLOOKUP(B10,'CODART RESPONSABLE'!B:C,2,FALSE)</f>
        <v>#N/A</v>
      </c>
      <c r="AM10" s="73" t="str">
        <f t="shared" si="6"/>
        <v/>
      </c>
      <c r="AN10" s="74" t="str">
        <f t="shared" si="7"/>
        <v>VERIFICAR CANTIDADES COTIZADAS</v>
      </c>
      <c r="AO10" s="75" t="str">
        <f t="shared" si="8"/>
        <v/>
      </c>
      <c r="AP10" s="76" t="str">
        <f t="shared" si="9"/>
        <v/>
      </c>
      <c r="AQ10" s="76"/>
      <c r="AR10" s="76"/>
      <c r="AS10" s="76"/>
    </row>
    <row r="11" ht="71.25" customHeight="1">
      <c r="A11" s="48"/>
      <c r="B11" s="49"/>
      <c r="C11" s="51"/>
      <c r="D11" s="51"/>
      <c r="E11" s="51"/>
      <c r="F11" s="52"/>
      <c r="G11" s="53"/>
      <c r="H11" s="54"/>
      <c r="I11" s="51"/>
      <c r="J11" s="51"/>
      <c r="K11" s="55"/>
      <c r="L11" s="56"/>
      <c r="M11" s="57"/>
      <c r="N11" s="57"/>
      <c r="O11" s="58"/>
      <c r="P11" s="57"/>
      <c r="Q11" s="59"/>
      <c r="R11" s="59"/>
      <c r="S11" s="59"/>
      <c r="T11" s="60"/>
      <c r="U11" s="58"/>
      <c r="V11" s="61"/>
      <c r="W11" s="62"/>
      <c r="X11" s="63"/>
      <c r="Y11" s="63"/>
      <c r="Z11" s="63"/>
      <c r="AA11" s="63"/>
      <c r="AB11" s="64"/>
      <c r="AC11" s="65">
        <f t="shared" si="1"/>
        <v>0</v>
      </c>
      <c r="AD11" s="66" t="str">
        <f t="shared" si="2"/>
        <v>#DIV/0!</v>
      </c>
      <c r="AE11" s="67" t="str">
        <f t="shared" si="3"/>
        <v>#DIV/0!</v>
      </c>
      <c r="AF11" s="66" t="str">
        <f t="shared" si="4"/>
        <v>#DIV/0!</v>
      </c>
      <c r="AG11" s="68">
        <f t="shared" si="5"/>
        <v>0</v>
      </c>
      <c r="AH11" s="69"/>
      <c r="AI11" s="70"/>
      <c r="AJ11" s="71" t="str">
        <f>VLOOKUP(AH11,'CODART PRODUCTO'!B:C,2,FALSE)</f>
        <v>#N/A</v>
      </c>
      <c r="AK11" s="72" t="str">
        <f>VLOOKUP(AI11,'CODART ORIGEN'!B:C,2,FALSE)</f>
        <v>#N/A</v>
      </c>
      <c r="AL11" s="72" t="str">
        <f>VLOOKUP(B11,'CODART RESPONSABLE'!B:C,2,FALSE)</f>
        <v>#N/A</v>
      </c>
      <c r="AM11" s="73" t="str">
        <f t="shared" si="6"/>
        <v/>
      </c>
      <c r="AN11" s="74" t="str">
        <f t="shared" si="7"/>
        <v>VERIFICAR CANTIDADES COTIZADAS</v>
      </c>
      <c r="AO11" s="75" t="str">
        <f t="shared" si="8"/>
        <v/>
      </c>
      <c r="AP11" s="76" t="str">
        <f t="shared" si="9"/>
        <v/>
      </c>
      <c r="AQ11" s="76"/>
      <c r="AR11" s="76"/>
      <c r="AS11" s="76"/>
    </row>
    <row r="12" ht="71.25" customHeight="1">
      <c r="A12" s="48"/>
      <c r="B12" s="49"/>
      <c r="C12" s="51"/>
      <c r="D12" s="51"/>
      <c r="E12" s="51"/>
      <c r="F12" s="52"/>
      <c r="G12" s="54"/>
      <c r="H12" s="54"/>
      <c r="I12" s="51"/>
      <c r="J12" s="51"/>
      <c r="K12" s="55"/>
      <c r="L12" s="56"/>
      <c r="M12" s="57"/>
      <c r="N12" s="57"/>
      <c r="O12" s="58"/>
      <c r="P12" s="57"/>
      <c r="Q12" s="59"/>
      <c r="R12" s="59"/>
      <c r="S12" s="59"/>
      <c r="T12" s="60"/>
      <c r="U12" s="58"/>
      <c r="V12" s="61"/>
      <c r="W12" s="62"/>
      <c r="X12" s="63"/>
      <c r="Y12" s="63"/>
      <c r="Z12" s="63"/>
      <c r="AA12" s="63"/>
      <c r="AB12" s="64"/>
      <c r="AC12" s="65">
        <f t="shared" si="1"/>
        <v>0</v>
      </c>
      <c r="AD12" s="66" t="str">
        <f t="shared" si="2"/>
        <v>#DIV/0!</v>
      </c>
      <c r="AE12" s="67" t="str">
        <f t="shared" si="3"/>
        <v>#DIV/0!</v>
      </c>
      <c r="AF12" s="66" t="str">
        <f t="shared" si="4"/>
        <v>#DIV/0!</v>
      </c>
      <c r="AG12" s="68">
        <f t="shared" si="5"/>
        <v>0</v>
      </c>
      <c r="AH12" s="69"/>
      <c r="AI12" s="70"/>
      <c r="AJ12" s="71" t="str">
        <f>VLOOKUP(AH12,'CODART PRODUCTO'!B:C,2,FALSE)</f>
        <v>#N/A</v>
      </c>
      <c r="AK12" s="72" t="str">
        <f>VLOOKUP(AI12,'CODART ORIGEN'!B:C,2,FALSE)</f>
        <v>#N/A</v>
      </c>
      <c r="AL12" s="72" t="str">
        <f>VLOOKUP(B12,'CODART RESPONSABLE'!B:C,2,FALSE)</f>
        <v>#N/A</v>
      </c>
      <c r="AM12" s="73" t="str">
        <f t="shared" si="6"/>
        <v/>
      </c>
      <c r="AN12" s="74" t="str">
        <f t="shared" si="7"/>
        <v>VERIFICAR CANTIDADES COTIZADAS</v>
      </c>
      <c r="AO12" s="75" t="str">
        <f t="shared" si="8"/>
        <v/>
      </c>
      <c r="AP12" s="76" t="str">
        <f t="shared" si="9"/>
        <v/>
      </c>
      <c r="AQ12" s="76"/>
      <c r="AR12" s="76"/>
      <c r="AS12" s="76"/>
    </row>
    <row r="13" ht="71.25" customHeight="1">
      <c r="A13" s="48"/>
      <c r="B13" s="49"/>
      <c r="C13" s="51"/>
      <c r="D13" s="51"/>
      <c r="E13" s="51"/>
      <c r="F13" s="52"/>
      <c r="G13" s="54"/>
      <c r="H13" s="54"/>
      <c r="I13" s="51"/>
      <c r="J13" s="51"/>
      <c r="K13" s="55"/>
      <c r="L13" s="56"/>
      <c r="M13" s="57"/>
      <c r="N13" s="57"/>
      <c r="O13" s="58"/>
      <c r="P13" s="57"/>
      <c r="Q13" s="59"/>
      <c r="R13" s="59"/>
      <c r="S13" s="59"/>
      <c r="T13" s="60"/>
      <c r="U13" s="58"/>
      <c r="V13" s="61"/>
      <c r="W13" s="62"/>
      <c r="X13" s="63"/>
      <c r="Y13" s="63"/>
      <c r="Z13" s="63"/>
      <c r="AA13" s="63"/>
      <c r="AB13" s="64"/>
      <c r="AC13" s="65">
        <f t="shared" si="1"/>
        <v>0</v>
      </c>
      <c r="AD13" s="66" t="str">
        <f t="shared" si="2"/>
        <v>#DIV/0!</v>
      </c>
      <c r="AE13" s="67" t="str">
        <f t="shared" si="3"/>
        <v>#DIV/0!</v>
      </c>
      <c r="AF13" s="66" t="str">
        <f t="shared" si="4"/>
        <v>#DIV/0!</v>
      </c>
      <c r="AG13" s="68">
        <f t="shared" si="5"/>
        <v>0</v>
      </c>
      <c r="AH13" s="69"/>
      <c r="AI13" s="70"/>
      <c r="AJ13" s="71" t="str">
        <f>VLOOKUP(AH13,'CODART PRODUCTO'!B:C,2,FALSE)</f>
        <v>#N/A</v>
      </c>
      <c r="AK13" s="72" t="str">
        <f>VLOOKUP(AI13,'CODART ORIGEN'!B:C,2,FALSE)</f>
        <v>#N/A</v>
      </c>
      <c r="AL13" s="72" t="str">
        <f>VLOOKUP(B13,'CODART RESPONSABLE'!B:C,2,FALSE)</f>
        <v>#N/A</v>
      </c>
      <c r="AM13" s="73" t="str">
        <f t="shared" si="6"/>
        <v/>
      </c>
      <c r="AN13" s="74" t="str">
        <f t="shared" si="7"/>
        <v>VERIFICAR CANTIDADES COTIZADAS</v>
      </c>
      <c r="AO13" s="75" t="str">
        <f t="shared" si="8"/>
        <v/>
      </c>
      <c r="AP13" s="76" t="str">
        <f t="shared" si="9"/>
        <v/>
      </c>
      <c r="AQ13" s="76"/>
      <c r="AR13" s="76"/>
      <c r="AS13" s="76"/>
    </row>
    <row r="14" ht="71.25" customHeight="1">
      <c r="A14" s="48"/>
      <c r="B14" s="49"/>
      <c r="C14" s="51"/>
      <c r="D14" s="51"/>
      <c r="E14" s="51"/>
      <c r="F14" s="51"/>
      <c r="G14" s="54"/>
      <c r="H14" s="54"/>
      <c r="I14" s="51"/>
      <c r="J14" s="51"/>
      <c r="K14" s="55"/>
      <c r="L14" s="56"/>
      <c r="M14" s="57"/>
      <c r="N14" s="57"/>
      <c r="O14" s="58"/>
      <c r="P14" s="57"/>
      <c r="Q14" s="59"/>
      <c r="R14" s="59"/>
      <c r="S14" s="59"/>
      <c r="T14" s="60"/>
      <c r="U14" s="58"/>
      <c r="V14" s="61"/>
      <c r="W14" s="62"/>
      <c r="X14" s="63"/>
      <c r="Y14" s="63"/>
      <c r="Z14" s="63"/>
      <c r="AA14" s="63"/>
      <c r="AB14" s="64"/>
      <c r="AC14" s="65">
        <f t="shared" si="1"/>
        <v>0</v>
      </c>
      <c r="AD14" s="66" t="str">
        <f t="shared" si="2"/>
        <v>#DIV/0!</v>
      </c>
      <c r="AE14" s="67" t="str">
        <f t="shared" si="3"/>
        <v>#DIV/0!</v>
      </c>
      <c r="AF14" s="66" t="str">
        <f t="shared" si="4"/>
        <v>#DIV/0!</v>
      </c>
      <c r="AG14" s="68">
        <f t="shared" si="5"/>
        <v>0</v>
      </c>
      <c r="AH14" s="69"/>
      <c r="AI14" s="70"/>
      <c r="AJ14" s="71" t="str">
        <f>VLOOKUP(AH14,'CODART PRODUCTO'!B:C,2,FALSE)</f>
        <v>#N/A</v>
      </c>
      <c r="AK14" s="72" t="str">
        <f>VLOOKUP(AI14,'CODART ORIGEN'!B:C,2,FALSE)</f>
        <v>#N/A</v>
      </c>
      <c r="AL14" s="72" t="str">
        <f>VLOOKUP(B14,'CODART RESPONSABLE'!B:C,2,FALSE)</f>
        <v>#N/A</v>
      </c>
      <c r="AM14" s="73" t="str">
        <f t="shared" si="6"/>
        <v/>
      </c>
      <c r="AN14" s="74" t="str">
        <f t="shared" si="7"/>
        <v>VERIFICAR CANTIDADES COTIZADAS</v>
      </c>
      <c r="AO14" s="75" t="str">
        <f t="shared" si="8"/>
        <v/>
      </c>
      <c r="AP14" s="76" t="str">
        <f t="shared" si="9"/>
        <v/>
      </c>
      <c r="AQ14" s="76"/>
      <c r="AR14" s="76"/>
      <c r="AS14" s="76"/>
    </row>
    <row r="15" ht="71.25" customHeight="1">
      <c r="A15" s="48"/>
      <c r="B15" s="49"/>
      <c r="C15" s="51"/>
      <c r="D15" s="51"/>
      <c r="E15" s="51"/>
      <c r="F15" s="51"/>
      <c r="G15" s="54"/>
      <c r="H15" s="54"/>
      <c r="I15" s="51"/>
      <c r="J15" s="51"/>
      <c r="K15" s="55"/>
      <c r="L15" s="56"/>
      <c r="M15" s="57"/>
      <c r="N15" s="57"/>
      <c r="O15" s="58"/>
      <c r="P15" s="57"/>
      <c r="Q15" s="59"/>
      <c r="R15" s="59"/>
      <c r="S15" s="59"/>
      <c r="T15" s="60"/>
      <c r="U15" s="58"/>
      <c r="V15" s="61"/>
      <c r="W15" s="62"/>
      <c r="X15" s="63"/>
      <c r="Y15" s="63"/>
      <c r="Z15" s="63"/>
      <c r="AA15" s="63"/>
      <c r="AB15" s="64"/>
      <c r="AC15" s="65">
        <f t="shared" si="1"/>
        <v>0</v>
      </c>
      <c r="AD15" s="66" t="str">
        <f t="shared" si="2"/>
        <v>#DIV/0!</v>
      </c>
      <c r="AE15" s="67" t="str">
        <f t="shared" si="3"/>
        <v>#DIV/0!</v>
      </c>
      <c r="AF15" s="66" t="str">
        <f t="shared" si="4"/>
        <v>#DIV/0!</v>
      </c>
      <c r="AG15" s="68">
        <f t="shared" si="5"/>
        <v>0</v>
      </c>
      <c r="AH15" s="69"/>
      <c r="AI15" s="70"/>
      <c r="AJ15" s="71" t="str">
        <f>VLOOKUP(AH15,'CODART PRODUCTO'!B:C,2,FALSE)</f>
        <v>#N/A</v>
      </c>
      <c r="AK15" s="72" t="str">
        <f>VLOOKUP(AI15,'CODART ORIGEN'!B:C,2,FALSE)</f>
        <v>#N/A</v>
      </c>
      <c r="AL15" s="72" t="str">
        <f>VLOOKUP(B15,'CODART RESPONSABLE'!B:C,2,FALSE)</f>
        <v>#N/A</v>
      </c>
      <c r="AM15" s="73" t="str">
        <f t="shared" si="6"/>
        <v/>
      </c>
      <c r="AN15" s="74" t="str">
        <f t="shared" si="7"/>
        <v>VERIFICAR CANTIDADES COTIZADAS</v>
      </c>
      <c r="AO15" s="75" t="str">
        <f t="shared" si="8"/>
        <v/>
      </c>
      <c r="AP15" s="76" t="str">
        <f t="shared" si="9"/>
        <v/>
      </c>
      <c r="AQ15" s="76"/>
      <c r="AR15" s="76"/>
      <c r="AS15" s="76"/>
    </row>
    <row r="16" ht="71.25" customHeight="1">
      <c r="A16" s="48"/>
      <c r="B16" s="49"/>
      <c r="C16" s="51"/>
      <c r="D16" s="51"/>
      <c r="E16" s="51"/>
      <c r="F16" s="51"/>
      <c r="G16" s="54"/>
      <c r="H16" s="54"/>
      <c r="I16" s="51"/>
      <c r="J16" s="51"/>
      <c r="K16" s="55"/>
      <c r="L16" s="56"/>
      <c r="M16" s="57"/>
      <c r="N16" s="57"/>
      <c r="O16" s="58"/>
      <c r="P16" s="57"/>
      <c r="Q16" s="59"/>
      <c r="R16" s="59"/>
      <c r="S16" s="59"/>
      <c r="T16" s="60"/>
      <c r="U16" s="58"/>
      <c r="V16" s="61"/>
      <c r="W16" s="62"/>
      <c r="X16" s="63"/>
      <c r="Y16" s="63"/>
      <c r="Z16" s="63"/>
      <c r="AA16" s="63"/>
      <c r="AB16" s="64"/>
      <c r="AC16" s="65">
        <f t="shared" si="1"/>
        <v>0</v>
      </c>
      <c r="AD16" s="66" t="str">
        <f t="shared" si="2"/>
        <v>#DIV/0!</v>
      </c>
      <c r="AE16" s="67" t="str">
        <f t="shared" si="3"/>
        <v>#DIV/0!</v>
      </c>
      <c r="AF16" s="66" t="str">
        <f t="shared" si="4"/>
        <v>#DIV/0!</v>
      </c>
      <c r="AG16" s="68">
        <f t="shared" si="5"/>
        <v>0</v>
      </c>
      <c r="AH16" s="69"/>
      <c r="AI16" s="70"/>
      <c r="AJ16" s="71" t="str">
        <f>VLOOKUP(AH16,'CODART PRODUCTO'!B:C,2,FALSE)</f>
        <v>#N/A</v>
      </c>
      <c r="AK16" s="72" t="str">
        <f>VLOOKUP(AI16,'CODART ORIGEN'!B:C,2,FALSE)</f>
        <v>#N/A</v>
      </c>
      <c r="AL16" s="72" t="str">
        <f>VLOOKUP(B16,'CODART RESPONSABLE'!B:C,2,FALSE)</f>
        <v>#N/A</v>
      </c>
      <c r="AM16" s="73" t="str">
        <f t="shared" si="6"/>
        <v/>
      </c>
      <c r="AN16" s="74" t="str">
        <f t="shared" si="7"/>
        <v>VERIFICAR CANTIDADES COTIZADAS</v>
      </c>
      <c r="AO16" s="75" t="str">
        <f t="shared" si="8"/>
        <v/>
      </c>
      <c r="AP16" s="76" t="str">
        <f t="shared" si="9"/>
        <v/>
      </c>
      <c r="AQ16" s="76"/>
      <c r="AR16" s="76"/>
      <c r="AS16" s="76"/>
    </row>
    <row r="17" ht="71.25" customHeight="1">
      <c r="A17" s="48"/>
      <c r="B17" s="49"/>
      <c r="C17" s="51"/>
      <c r="D17" s="51"/>
      <c r="E17" s="51"/>
      <c r="F17" s="51"/>
      <c r="G17" s="54"/>
      <c r="H17" s="54"/>
      <c r="I17" s="51"/>
      <c r="J17" s="77"/>
      <c r="K17" s="55"/>
      <c r="L17" s="56"/>
      <c r="M17" s="57"/>
      <c r="N17" s="57"/>
      <c r="O17" s="58"/>
      <c r="P17" s="57"/>
      <c r="Q17" s="59"/>
      <c r="R17" s="59"/>
      <c r="S17" s="59"/>
      <c r="T17" s="60"/>
      <c r="U17" s="54"/>
      <c r="V17" s="61"/>
      <c r="W17" s="62"/>
      <c r="X17" s="63"/>
      <c r="Y17" s="63"/>
      <c r="Z17" s="63"/>
      <c r="AA17" s="63"/>
      <c r="AB17" s="64"/>
      <c r="AC17" s="65">
        <f t="shared" si="1"/>
        <v>0</v>
      </c>
      <c r="AD17" s="66" t="str">
        <f t="shared" si="2"/>
        <v>#DIV/0!</v>
      </c>
      <c r="AE17" s="67" t="str">
        <f t="shared" si="3"/>
        <v>#DIV/0!</v>
      </c>
      <c r="AF17" s="66" t="str">
        <f t="shared" si="4"/>
        <v>#DIV/0!</v>
      </c>
      <c r="AG17" s="68">
        <f t="shared" si="5"/>
        <v>0</v>
      </c>
      <c r="AH17" s="69"/>
      <c r="AI17" s="70"/>
      <c r="AJ17" s="71" t="str">
        <f>VLOOKUP(AH17,'CODART PRODUCTO'!B:C,2,FALSE)</f>
        <v>#N/A</v>
      </c>
      <c r="AK17" s="72" t="str">
        <f>VLOOKUP(AI17,'CODART ORIGEN'!B:C,2,FALSE)</f>
        <v>#N/A</v>
      </c>
      <c r="AL17" s="72" t="str">
        <f>VLOOKUP(B17,'CODART RESPONSABLE'!B:C,2,FALSE)</f>
        <v>#N/A</v>
      </c>
      <c r="AM17" s="73" t="str">
        <f t="shared" si="6"/>
        <v/>
      </c>
      <c r="AN17" s="74" t="str">
        <f t="shared" si="7"/>
        <v>VERIFICAR CANTIDADES COTIZADAS</v>
      </c>
      <c r="AO17" s="75" t="str">
        <f t="shared" si="8"/>
        <v/>
      </c>
      <c r="AP17" s="76" t="str">
        <f t="shared" si="9"/>
        <v/>
      </c>
      <c r="AQ17" s="76"/>
      <c r="AR17" s="76"/>
      <c r="AS17" s="76"/>
    </row>
    <row r="18" ht="71.25" customHeight="1">
      <c r="A18" s="48"/>
      <c r="B18" s="49"/>
      <c r="C18" s="51"/>
      <c r="D18" s="51"/>
      <c r="E18" s="51"/>
      <c r="F18" s="51"/>
      <c r="G18" s="54"/>
      <c r="H18" s="54"/>
      <c r="I18" s="51"/>
      <c r="J18" s="77"/>
      <c r="K18" s="55"/>
      <c r="L18" s="56"/>
      <c r="M18" s="57"/>
      <c r="N18" s="57"/>
      <c r="O18" s="58"/>
      <c r="P18" s="57"/>
      <c r="Q18" s="59"/>
      <c r="R18" s="59"/>
      <c r="S18" s="59"/>
      <c r="T18" s="60"/>
      <c r="U18" s="54"/>
      <c r="V18" s="61"/>
      <c r="W18" s="62"/>
      <c r="X18" s="63"/>
      <c r="Y18" s="63"/>
      <c r="Z18" s="63"/>
      <c r="AA18" s="63"/>
      <c r="AB18" s="64"/>
      <c r="AC18" s="65">
        <f t="shared" si="1"/>
        <v>0</v>
      </c>
      <c r="AD18" s="66" t="str">
        <f t="shared" si="2"/>
        <v>#DIV/0!</v>
      </c>
      <c r="AE18" s="67" t="str">
        <f t="shared" si="3"/>
        <v>#DIV/0!</v>
      </c>
      <c r="AF18" s="66" t="str">
        <f t="shared" si="4"/>
        <v>#DIV/0!</v>
      </c>
      <c r="AG18" s="68">
        <f t="shared" si="5"/>
        <v>0</v>
      </c>
      <c r="AH18" s="69"/>
      <c r="AI18" s="70"/>
      <c r="AJ18" s="71" t="str">
        <f>VLOOKUP(AH18,'CODART PRODUCTO'!B:C,2,FALSE)</f>
        <v>#N/A</v>
      </c>
      <c r="AK18" s="72" t="str">
        <f>VLOOKUP(AI18,'CODART ORIGEN'!B:C,2,FALSE)</f>
        <v>#N/A</v>
      </c>
      <c r="AL18" s="72" t="str">
        <f>VLOOKUP(B18,'CODART RESPONSABLE'!B:C,2,FALSE)</f>
        <v>#N/A</v>
      </c>
      <c r="AM18" s="73" t="str">
        <f t="shared" si="6"/>
        <v/>
      </c>
      <c r="AN18" s="74" t="str">
        <f t="shared" si="7"/>
        <v>VERIFICAR CANTIDADES COTIZADAS</v>
      </c>
      <c r="AO18" s="75" t="str">
        <f t="shared" si="8"/>
        <v/>
      </c>
      <c r="AP18" s="76" t="str">
        <f t="shared" si="9"/>
        <v/>
      </c>
      <c r="AQ18" s="76"/>
      <c r="AR18" s="76"/>
      <c r="AS18" s="76"/>
    </row>
    <row r="19" ht="71.25" customHeight="1">
      <c r="A19" s="48"/>
      <c r="B19" s="49"/>
      <c r="C19" s="51"/>
      <c r="D19" s="51"/>
      <c r="E19" s="51"/>
      <c r="F19" s="51"/>
      <c r="G19" s="54"/>
      <c r="H19" s="54"/>
      <c r="I19" s="51"/>
      <c r="J19" s="77"/>
      <c r="K19" s="55"/>
      <c r="L19" s="56"/>
      <c r="M19" s="57"/>
      <c r="N19" s="57"/>
      <c r="O19" s="58"/>
      <c r="P19" s="57"/>
      <c r="Q19" s="59"/>
      <c r="R19" s="59"/>
      <c r="S19" s="59"/>
      <c r="T19" s="60"/>
      <c r="U19" s="54"/>
      <c r="V19" s="61"/>
      <c r="W19" s="62"/>
      <c r="X19" s="63"/>
      <c r="Y19" s="63"/>
      <c r="Z19" s="63"/>
      <c r="AA19" s="63"/>
      <c r="AB19" s="64"/>
      <c r="AC19" s="65">
        <f t="shared" si="1"/>
        <v>0</v>
      </c>
      <c r="AD19" s="66" t="str">
        <f t="shared" si="2"/>
        <v>#DIV/0!</v>
      </c>
      <c r="AE19" s="67" t="str">
        <f t="shared" si="3"/>
        <v>#DIV/0!</v>
      </c>
      <c r="AF19" s="66" t="str">
        <f t="shared" si="4"/>
        <v>#DIV/0!</v>
      </c>
      <c r="AG19" s="68">
        <f t="shared" si="5"/>
        <v>0</v>
      </c>
      <c r="AH19" s="69"/>
      <c r="AI19" s="70"/>
      <c r="AJ19" s="71" t="str">
        <f>VLOOKUP(AH19,'CODART PRODUCTO'!B:C,2,FALSE)</f>
        <v>#N/A</v>
      </c>
      <c r="AK19" s="72" t="str">
        <f>VLOOKUP(AI19,'CODART ORIGEN'!B:C,2,FALSE)</f>
        <v>#N/A</v>
      </c>
      <c r="AL19" s="72" t="str">
        <f>VLOOKUP(B19,'CODART RESPONSABLE'!B:C,2,FALSE)</f>
        <v>#N/A</v>
      </c>
      <c r="AM19" s="73" t="str">
        <f t="shared" si="6"/>
        <v/>
      </c>
      <c r="AN19" s="74" t="str">
        <f t="shared" si="7"/>
        <v>VERIFICAR CANTIDADES COTIZADAS</v>
      </c>
      <c r="AO19" s="75" t="str">
        <f t="shared" si="8"/>
        <v/>
      </c>
      <c r="AP19" s="76" t="str">
        <f t="shared" si="9"/>
        <v/>
      </c>
      <c r="AQ19" s="76"/>
      <c r="AR19" s="76"/>
      <c r="AS19" s="76"/>
    </row>
    <row r="20" ht="71.25" customHeight="1">
      <c r="A20" s="48"/>
      <c r="B20" s="49"/>
      <c r="C20" s="51"/>
      <c r="D20" s="51"/>
      <c r="E20" s="51"/>
      <c r="F20" s="51"/>
      <c r="G20" s="54"/>
      <c r="H20" s="54"/>
      <c r="I20" s="78"/>
      <c r="J20" s="77"/>
      <c r="K20" s="55"/>
      <c r="L20" s="56"/>
      <c r="M20" s="57"/>
      <c r="N20" s="57"/>
      <c r="O20" s="58"/>
      <c r="P20" s="57"/>
      <c r="Q20" s="59"/>
      <c r="R20" s="59"/>
      <c r="S20" s="59"/>
      <c r="T20" s="60"/>
      <c r="U20" s="54"/>
      <c r="V20" s="61"/>
      <c r="W20" s="62"/>
      <c r="X20" s="63"/>
      <c r="Y20" s="63"/>
      <c r="Z20" s="63"/>
      <c r="AA20" s="63"/>
      <c r="AB20" s="64"/>
      <c r="AC20" s="65">
        <f t="shared" si="1"/>
        <v>0</v>
      </c>
      <c r="AD20" s="66" t="str">
        <f t="shared" si="2"/>
        <v>#DIV/0!</v>
      </c>
      <c r="AE20" s="67" t="str">
        <f t="shared" si="3"/>
        <v>#DIV/0!</v>
      </c>
      <c r="AF20" s="66" t="str">
        <f t="shared" si="4"/>
        <v>#DIV/0!</v>
      </c>
      <c r="AG20" s="68">
        <f t="shared" si="5"/>
        <v>0</v>
      </c>
      <c r="AH20" s="69"/>
      <c r="AI20" s="70"/>
      <c r="AJ20" s="71" t="str">
        <f>VLOOKUP(AH20,'CODART PRODUCTO'!B:C,2,FALSE)</f>
        <v>#N/A</v>
      </c>
      <c r="AK20" s="72" t="str">
        <f>VLOOKUP(AI20,'CODART ORIGEN'!B:C,2,FALSE)</f>
        <v>#N/A</v>
      </c>
      <c r="AL20" s="72" t="str">
        <f>VLOOKUP(B20,'CODART RESPONSABLE'!B:C,2,FALSE)</f>
        <v>#N/A</v>
      </c>
      <c r="AM20" s="73" t="str">
        <f t="shared" si="6"/>
        <v/>
      </c>
      <c r="AN20" s="74" t="str">
        <f t="shared" si="7"/>
        <v>VERIFICAR CANTIDADES COTIZADAS</v>
      </c>
      <c r="AO20" s="75" t="str">
        <f t="shared" si="8"/>
        <v/>
      </c>
      <c r="AP20" s="76" t="str">
        <f t="shared" si="9"/>
        <v/>
      </c>
      <c r="AQ20" s="76"/>
      <c r="AR20" s="76"/>
      <c r="AS20" s="76"/>
    </row>
    <row r="21" ht="71.25" customHeight="1">
      <c r="A21" s="48"/>
      <c r="B21" s="49"/>
      <c r="C21" s="51"/>
      <c r="D21" s="51"/>
      <c r="E21" s="51"/>
      <c r="F21" s="51"/>
      <c r="G21" s="54"/>
      <c r="H21" s="54"/>
      <c r="I21" s="51"/>
      <c r="J21" s="77"/>
      <c r="K21" s="55"/>
      <c r="L21" s="56"/>
      <c r="M21" s="57"/>
      <c r="N21" s="57"/>
      <c r="O21" s="58"/>
      <c r="P21" s="57"/>
      <c r="Q21" s="59"/>
      <c r="R21" s="59"/>
      <c r="S21" s="59"/>
      <c r="T21" s="60"/>
      <c r="U21" s="54"/>
      <c r="V21" s="61"/>
      <c r="W21" s="62"/>
      <c r="X21" s="63"/>
      <c r="Y21" s="63"/>
      <c r="Z21" s="63"/>
      <c r="AA21" s="63"/>
      <c r="AB21" s="64"/>
      <c r="AC21" s="65">
        <f t="shared" si="1"/>
        <v>0</v>
      </c>
      <c r="AD21" s="66" t="str">
        <f t="shared" si="2"/>
        <v>#DIV/0!</v>
      </c>
      <c r="AE21" s="67" t="str">
        <f t="shared" si="3"/>
        <v>#DIV/0!</v>
      </c>
      <c r="AF21" s="66" t="str">
        <f t="shared" si="4"/>
        <v>#DIV/0!</v>
      </c>
      <c r="AG21" s="68">
        <f t="shared" si="5"/>
        <v>0</v>
      </c>
      <c r="AH21" s="69"/>
      <c r="AI21" s="70"/>
      <c r="AJ21" s="71" t="str">
        <f>VLOOKUP(AH21,'CODART PRODUCTO'!B:C,2,FALSE)</f>
        <v>#N/A</v>
      </c>
      <c r="AK21" s="72" t="str">
        <f>VLOOKUP(AI21,'CODART ORIGEN'!B:C,2,FALSE)</f>
        <v>#N/A</v>
      </c>
      <c r="AL21" s="72" t="str">
        <f>VLOOKUP(B21,'CODART RESPONSABLE'!B:C,2,FALSE)</f>
        <v>#N/A</v>
      </c>
      <c r="AM21" s="73" t="str">
        <f t="shared" si="6"/>
        <v/>
      </c>
      <c r="AN21" s="74" t="str">
        <f t="shared" si="7"/>
        <v>VERIFICAR CANTIDADES COTIZADAS</v>
      </c>
      <c r="AO21" s="75" t="str">
        <f t="shared" si="8"/>
        <v/>
      </c>
      <c r="AP21" s="76" t="str">
        <f t="shared" si="9"/>
        <v/>
      </c>
      <c r="AQ21" s="76"/>
      <c r="AR21" s="76"/>
      <c r="AS21" s="76"/>
    </row>
    <row r="22" ht="71.25" customHeight="1">
      <c r="A22" s="48"/>
      <c r="B22" s="49"/>
      <c r="C22" s="51"/>
      <c r="D22" s="51"/>
      <c r="E22" s="51"/>
      <c r="F22" s="51"/>
      <c r="G22" s="54"/>
      <c r="H22" s="54"/>
      <c r="I22" s="51"/>
      <c r="J22" s="77"/>
      <c r="K22" s="55"/>
      <c r="L22" s="56"/>
      <c r="M22" s="57"/>
      <c r="N22" s="57"/>
      <c r="O22" s="58"/>
      <c r="P22" s="57"/>
      <c r="Q22" s="59"/>
      <c r="R22" s="59"/>
      <c r="S22" s="59"/>
      <c r="T22" s="60"/>
      <c r="U22" s="54"/>
      <c r="V22" s="61"/>
      <c r="W22" s="62"/>
      <c r="X22" s="63"/>
      <c r="Y22" s="63"/>
      <c r="Z22" s="63"/>
      <c r="AA22" s="63"/>
      <c r="AB22" s="64"/>
      <c r="AC22" s="65">
        <f t="shared" si="1"/>
        <v>0</v>
      </c>
      <c r="AD22" s="66" t="str">
        <f t="shared" si="2"/>
        <v>#DIV/0!</v>
      </c>
      <c r="AE22" s="67" t="str">
        <f t="shared" si="3"/>
        <v>#DIV/0!</v>
      </c>
      <c r="AF22" s="66" t="str">
        <f t="shared" si="4"/>
        <v>#DIV/0!</v>
      </c>
      <c r="AG22" s="68">
        <f t="shared" si="5"/>
        <v>0</v>
      </c>
      <c r="AH22" s="69"/>
      <c r="AI22" s="70"/>
      <c r="AJ22" s="71" t="str">
        <f>VLOOKUP(AH22,'CODART PRODUCTO'!B:C,2,FALSE)</f>
        <v>#N/A</v>
      </c>
      <c r="AK22" s="72" t="str">
        <f>VLOOKUP(AI22,'CODART ORIGEN'!B:C,2,FALSE)</f>
        <v>#N/A</v>
      </c>
      <c r="AL22" s="72" t="str">
        <f>VLOOKUP(B22,'CODART RESPONSABLE'!B:C,2,FALSE)</f>
        <v>#N/A</v>
      </c>
      <c r="AM22" s="73" t="str">
        <f t="shared" si="6"/>
        <v/>
      </c>
      <c r="AN22" s="74" t="str">
        <f t="shared" si="7"/>
        <v>VERIFICAR CANTIDADES COTIZADAS</v>
      </c>
      <c r="AO22" s="75" t="str">
        <f t="shared" si="8"/>
        <v/>
      </c>
      <c r="AP22" s="76" t="str">
        <f t="shared" si="9"/>
        <v/>
      </c>
      <c r="AQ22" s="76"/>
      <c r="AR22" s="76"/>
      <c r="AS22" s="76"/>
    </row>
    <row r="23" ht="71.25" customHeight="1">
      <c r="A23" s="48"/>
      <c r="B23" s="49"/>
      <c r="C23" s="51"/>
      <c r="D23" s="51"/>
      <c r="E23" s="51"/>
      <c r="F23" s="51"/>
      <c r="G23" s="54"/>
      <c r="H23" s="54"/>
      <c r="I23" s="51"/>
      <c r="J23" s="77"/>
      <c r="K23" s="55"/>
      <c r="L23" s="56"/>
      <c r="M23" s="57"/>
      <c r="N23" s="57"/>
      <c r="O23" s="58"/>
      <c r="P23" s="57"/>
      <c r="Q23" s="59"/>
      <c r="R23" s="59"/>
      <c r="S23" s="59"/>
      <c r="T23" s="60"/>
      <c r="U23" s="54"/>
      <c r="V23" s="79"/>
      <c r="W23" s="62"/>
      <c r="X23" s="63"/>
      <c r="Y23" s="63"/>
      <c r="Z23" s="63"/>
      <c r="AA23" s="63"/>
      <c r="AB23" s="64"/>
      <c r="AC23" s="65">
        <f t="shared" si="1"/>
        <v>0</v>
      </c>
      <c r="AD23" s="66" t="str">
        <f t="shared" si="2"/>
        <v>#DIV/0!</v>
      </c>
      <c r="AE23" s="67" t="str">
        <f t="shared" si="3"/>
        <v>#DIV/0!</v>
      </c>
      <c r="AF23" s="66" t="str">
        <f t="shared" si="4"/>
        <v>#DIV/0!</v>
      </c>
      <c r="AG23" s="68">
        <f t="shared" si="5"/>
        <v>0</v>
      </c>
      <c r="AH23" s="69"/>
      <c r="AI23" s="70"/>
      <c r="AJ23" s="71" t="str">
        <f>VLOOKUP(AH23,'CODART PRODUCTO'!B:C,2,FALSE)</f>
        <v>#N/A</v>
      </c>
      <c r="AK23" s="72" t="str">
        <f>VLOOKUP(AI23,'CODART ORIGEN'!B:C,2,FALSE)</f>
        <v>#N/A</v>
      </c>
      <c r="AL23" s="72" t="str">
        <f>VLOOKUP(B23,'CODART RESPONSABLE'!B:C,2,FALSE)</f>
        <v>#N/A</v>
      </c>
      <c r="AM23" s="73" t="str">
        <f t="shared" si="6"/>
        <v/>
      </c>
      <c r="AN23" s="74" t="str">
        <f t="shared" si="7"/>
        <v>VERIFICAR CANTIDADES COTIZADAS</v>
      </c>
      <c r="AO23" s="75" t="str">
        <f t="shared" si="8"/>
        <v/>
      </c>
      <c r="AP23" s="76" t="str">
        <f t="shared" si="9"/>
        <v/>
      </c>
      <c r="AQ23" s="76"/>
      <c r="AR23" s="76"/>
      <c r="AS23" s="76"/>
    </row>
    <row r="24" ht="71.25" customHeight="1">
      <c r="A24" s="48"/>
      <c r="B24" s="49"/>
      <c r="C24" s="51"/>
      <c r="D24" s="51"/>
      <c r="E24" s="51"/>
      <c r="F24" s="51"/>
      <c r="G24" s="54"/>
      <c r="H24" s="54"/>
      <c r="I24" s="51"/>
      <c r="J24" s="77"/>
      <c r="K24" s="55"/>
      <c r="L24" s="56"/>
      <c r="M24" s="57"/>
      <c r="N24" s="57"/>
      <c r="O24" s="58"/>
      <c r="P24" s="57"/>
      <c r="Q24" s="59"/>
      <c r="R24" s="59"/>
      <c r="S24" s="59"/>
      <c r="T24" s="60"/>
      <c r="U24" s="54"/>
      <c r="V24" s="79"/>
      <c r="W24" s="62"/>
      <c r="X24" s="63"/>
      <c r="Y24" s="63"/>
      <c r="Z24" s="63"/>
      <c r="AA24" s="63"/>
      <c r="AB24" s="64"/>
      <c r="AC24" s="65">
        <f t="shared" si="1"/>
        <v>0</v>
      </c>
      <c r="AD24" s="66" t="str">
        <f t="shared" si="2"/>
        <v>#DIV/0!</v>
      </c>
      <c r="AE24" s="67" t="str">
        <f t="shared" si="3"/>
        <v>#DIV/0!</v>
      </c>
      <c r="AF24" s="66" t="str">
        <f t="shared" si="4"/>
        <v>#DIV/0!</v>
      </c>
      <c r="AG24" s="68">
        <f t="shared" si="5"/>
        <v>0</v>
      </c>
      <c r="AH24" s="69"/>
      <c r="AI24" s="70"/>
      <c r="AJ24" s="71" t="str">
        <f>VLOOKUP(AH24,'CODART PRODUCTO'!B:C,2,FALSE)</f>
        <v>#N/A</v>
      </c>
      <c r="AK24" s="72" t="str">
        <f>VLOOKUP(AI24,'CODART ORIGEN'!B:C,2,FALSE)</f>
        <v>#N/A</v>
      </c>
      <c r="AL24" s="72" t="str">
        <f>VLOOKUP(B24,'CODART RESPONSABLE'!B:C,2,FALSE)</f>
        <v>#N/A</v>
      </c>
      <c r="AM24" s="73" t="str">
        <f t="shared" si="6"/>
        <v/>
      </c>
      <c r="AN24" s="74" t="str">
        <f t="shared" si="7"/>
        <v>VERIFICAR CANTIDADES COTIZADAS</v>
      </c>
      <c r="AO24" s="75" t="str">
        <f t="shared" si="8"/>
        <v/>
      </c>
      <c r="AP24" s="76" t="str">
        <f t="shared" si="9"/>
        <v/>
      </c>
      <c r="AQ24" s="76"/>
      <c r="AR24" s="76"/>
      <c r="AS24" s="76"/>
    </row>
    <row r="25" ht="71.25" customHeight="1">
      <c r="A25" s="48"/>
      <c r="B25" s="49"/>
      <c r="C25" s="51"/>
      <c r="D25" s="51"/>
      <c r="E25" s="51"/>
      <c r="F25" s="51"/>
      <c r="G25" s="54"/>
      <c r="H25" s="54"/>
      <c r="I25" s="51"/>
      <c r="J25" s="77"/>
      <c r="K25" s="55"/>
      <c r="L25" s="56"/>
      <c r="M25" s="57"/>
      <c r="N25" s="57"/>
      <c r="O25" s="58"/>
      <c r="P25" s="57"/>
      <c r="Q25" s="59"/>
      <c r="R25" s="59"/>
      <c r="S25" s="59"/>
      <c r="T25" s="60"/>
      <c r="U25" s="54"/>
      <c r="V25" s="79"/>
      <c r="W25" s="62"/>
      <c r="X25" s="63"/>
      <c r="Y25" s="63"/>
      <c r="Z25" s="63"/>
      <c r="AA25" s="63"/>
      <c r="AB25" s="64"/>
      <c r="AC25" s="65">
        <f t="shared" si="1"/>
        <v>0</v>
      </c>
      <c r="AD25" s="66" t="str">
        <f t="shared" si="2"/>
        <v>#DIV/0!</v>
      </c>
      <c r="AE25" s="67" t="str">
        <f t="shared" si="3"/>
        <v>#DIV/0!</v>
      </c>
      <c r="AF25" s="66" t="str">
        <f t="shared" si="4"/>
        <v>#DIV/0!</v>
      </c>
      <c r="AG25" s="68">
        <f t="shared" si="5"/>
        <v>0</v>
      </c>
      <c r="AH25" s="69"/>
      <c r="AI25" s="70"/>
      <c r="AJ25" s="71" t="str">
        <f>VLOOKUP(AH25,'CODART PRODUCTO'!B:C,2,FALSE)</f>
        <v>#N/A</v>
      </c>
      <c r="AK25" s="72" t="str">
        <f>VLOOKUP(AI25,'CODART ORIGEN'!B:C,2,FALSE)</f>
        <v>#N/A</v>
      </c>
      <c r="AL25" s="72" t="str">
        <f>VLOOKUP(B25,'CODART RESPONSABLE'!B:C,2,FALSE)</f>
        <v>#N/A</v>
      </c>
      <c r="AM25" s="73" t="str">
        <f t="shared" si="6"/>
        <v/>
      </c>
      <c r="AN25" s="74" t="str">
        <f t="shared" si="7"/>
        <v>VERIFICAR CANTIDADES COTIZADAS</v>
      </c>
      <c r="AO25" s="75" t="str">
        <f t="shared" si="8"/>
        <v/>
      </c>
      <c r="AP25" s="76" t="str">
        <f t="shared" si="9"/>
        <v/>
      </c>
      <c r="AQ25" s="76"/>
      <c r="AR25" s="76"/>
      <c r="AS25" s="76"/>
    </row>
    <row r="26" ht="71.25" customHeight="1">
      <c r="A26" s="48"/>
      <c r="B26" s="49"/>
      <c r="C26" s="51"/>
      <c r="D26" s="51"/>
      <c r="E26" s="51"/>
      <c r="F26" s="51"/>
      <c r="G26" s="54"/>
      <c r="H26" s="54"/>
      <c r="I26" s="51"/>
      <c r="J26" s="77"/>
      <c r="K26" s="55"/>
      <c r="L26" s="56"/>
      <c r="M26" s="57"/>
      <c r="N26" s="57"/>
      <c r="O26" s="58"/>
      <c r="P26" s="57"/>
      <c r="Q26" s="59"/>
      <c r="R26" s="59"/>
      <c r="S26" s="59"/>
      <c r="T26" s="60"/>
      <c r="U26" s="54"/>
      <c r="V26" s="79"/>
      <c r="W26" s="62"/>
      <c r="X26" s="63"/>
      <c r="Y26" s="63"/>
      <c r="Z26" s="63"/>
      <c r="AA26" s="63"/>
      <c r="AB26" s="64"/>
      <c r="AC26" s="65">
        <f t="shared" si="1"/>
        <v>0</v>
      </c>
      <c r="AD26" s="66" t="str">
        <f t="shared" si="2"/>
        <v>#DIV/0!</v>
      </c>
      <c r="AE26" s="67" t="str">
        <f t="shared" si="3"/>
        <v>#DIV/0!</v>
      </c>
      <c r="AF26" s="66" t="str">
        <f t="shared" si="4"/>
        <v>#DIV/0!</v>
      </c>
      <c r="AG26" s="68">
        <f t="shared" si="5"/>
        <v>0</v>
      </c>
      <c r="AH26" s="69"/>
      <c r="AI26" s="70"/>
      <c r="AJ26" s="71" t="str">
        <f>VLOOKUP(AH26,'CODART PRODUCTO'!B:C,2,FALSE)</f>
        <v>#N/A</v>
      </c>
      <c r="AK26" s="72" t="str">
        <f>VLOOKUP(AI26,'CODART ORIGEN'!B:C,2,FALSE)</f>
        <v>#N/A</v>
      </c>
      <c r="AL26" s="72" t="str">
        <f>VLOOKUP(B26,'CODART RESPONSABLE'!B:C,2,FALSE)</f>
        <v>#N/A</v>
      </c>
      <c r="AM26" s="73" t="str">
        <f t="shared" si="6"/>
        <v/>
      </c>
      <c r="AN26" s="74" t="str">
        <f t="shared" si="7"/>
        <v>VERIFICAR CANTIDADES COTIZADAS</v>
      </c>
      <c r="AO26" s="75" t="str">
        <f t="shared" si="8"/>
        <v/>
      </c>
      <c r="AP26" s="76" t="str">
        <f t="shared" si="9"/>
        <v/>
      </c>
      <c r="AQ26" s="76"/>
      <c r="AR26" s="76"/>
      <c r="AS26" s="76"/>
    </row>
    <row r="27" ht="71.25" customHeight="1">
      <c r="A27" s="48"/>
      <c r="B27" s="49"/>
      <c r="C27" s="51"/>
      <c r="D27" s="51"/>
      <c r="E27" s="51"/>
      <c r="F27" s="51"/>
      <c r="G27" s="54"/>
      <c r="H27" s="54"/>
      <c r="I27" s="51"/>
      <c r="J27" s="77"/>
      <c r="K27" s="55"/>
      <c r="L27" s="56"/>
      <c r="M27" s="57"/>
      <c r="N27" s="57"/>
      <c r="O27" s="58"/>
      <c r="P27" s="57"/>
      <c r="Q27" s="59"/>
      <c r="R27" s="59"/>
      <c r="S27" s="59"/>
      <c r="T27" s="60"/>
      <c r="U27" s="54"/>
      <c r="V27" s="79"/>
      <c r="W27" s="62"/>
      <c r="X27" s="63"/>
      <c r="Y27" s="63"/>
      <c r="Z27" s="63"/>
      <c r="AA27" s="63"/>
      <c r="AB27" s="64"/>
      <c r="AC27" s="65">
        <f t="shared" si="1"/>
        <v>0</v>
      </c>
      <c r="AD27" s="66" t="str">
        <f t="shared" si="2"/>
        <v>#DIV/0!</v>
      </c>
      <c r="AE27" s="67" t="str">
        <f t="shared" si="3"/>
        <v>#DIV/0!</v>
      </c>
      <c r="AF27" s="66" t="str">
        <f t="shared" si="4"/>
        <v>#DIV/0!</v>
      </c>
      <c r="AG27" s="68">
        <f t="shared" si="5"/>
        <v>0</v>
      </c>
      <c r="AH27" s="69"/>
      <c r="AI27" s="70"/>
      <c r="AJ27" s="71" t="str">
        <f>VLOOKUP(AH27,'CODART PRODUCTO'!B:C,2,FALSE)</f>
        <v>#N/A</v>
      </c>
      <c r="AK27" s="72" t="str">
        <f>VLOOKUP(AI27,'CODART ORIGEN'!B:C,2,FALSE)</f>
        <v>#N/A</v>
      </c>
      <c r="AL27" s="72" t="str">
        <f>VLOOKUP(B27,'CODART RESPONSABLE'!B:C,2,FALSE)</f>
        <v>#N/A</v>
      </c>
      <c r="AM27" s="73" t="str">
        <f t="shared" si="6"/>
        <v/>
      </c>
      <c r="AN27" s="74" t="str">
        <f t="shared" si="7"/>
        <v>VERIFICAR CANTIDADES COTIZADAS</v>
      </c>
      <c r="AO27" s="75" t="str">
        <f t="shared" si="8"/>
        <v/>
      </c>
      <c r="AP27" s="76" t="str">
        <f t="shared" si="9"/>
        <v/>
      </c>
      <c r="AQ27" s="76"/>
      <c r="AR27" s="76"/>
      <c r="AS27" s="76"/>
    </row>
    <row r="28" ht="71.25" customHeight="1">
      <c r="A28" s="48"/>
      <c r="B28" s="49"/>
      <c r="C28" s="51"/>
      <c r="D28" s="51"/>
      <c r="E28" s="51"/>
      <c r="F28" s="51"/>
      <c r="G28" s="54"/>
      <c r="H28" s="54"/>
      <c r="I28" s="51"/>
      <c r="J28" s="77"/>
      <c r="K28" s="55"/>
      <c r="L28" s="56"/>
      <c r="M28" s="57"/>
      <c r="N28" s="57"/>
      <c r="O28" s="58"/>
      <c r="P28" s="57"/>
      <c r="Q28" s="59"/>
      <c r="R28" s="59"/>
      <c r="S28" s="59"/>
      <c r="T28" s="60"/>
      <c r="U28" s="54"/>
      <c r="V28" s="79"/>
      <c r="W28" s="62"/>
      <c r="X28" s="63"/>
      <c r="Y28" s="63"/>
      <c r="Z28" s="63"/>
      <c r="AA28" s="63"/>
      <c r="AB28" s="64"/>
      <c r="AC28" s="65">
        <f t="shared" si="1"/>
        <v>0</v>
      </c>
      <c r="AD28" s="66" t="str">
        <f t="shared" si="2"/>
        <v>#DIV/0!</v>
      </c>
      <c r="AE28" s="67" t="str">
        <f t="shared" si="3"/>
        <v>#DIV/0!</v>
      </c>
      <c r="AF28" s="66" t="str">
        <f t="shared" si="4"/>
        <v>#DIV/0!</v>
      </c>
      <c r="AG28" s="68">
        <f t="shared" si="5"/>
        <v>0</v>
      </c>
      <c r="AH28" s="69"/>
      <c r="AI28" s="70"/>
      <c r="AJ28" s="71" t="str">
        <f>VLOOKUP(AH28,'CODART PRODUCTO'!B:C,2,FALSE)</f>
        <v>#N/A</v>
      </c>
      <c r="AK28" s="72" t="str">
        <f>VLOOKUP(AI28,'CODART ORIGEN'!B:C,2,FALSE)</f>
        <v>#N/A</v>
      </c>
      <c r="AL28" s="72" t="str">
        <f>VLOOKUP(B28,'CODART RESPONSABLE'!B:C,2,FALSE)</f>
        <v>#N/A</v>
      </c>
      <c r="AM28" s="73" t="str">
        <f t="shared" si="6"/>
        <v/>
      </c>
      <c r="AN28" s="74" t="str">
        <f t="shared" si="7"/>
        <v>VERIFICAR CANTIDADES COTIZADAS</v>
      </c>
      <c r="AO28" s="75" t="str">
        <f t="shared" si="8"/>
        <v/>
      </c>
      <c r="AP28" s="76" t="str">
        <f t="shared" si="9"/>
        <v/>
      </c>
      <c r="AQ28" s="76"/>
      <c r="AR28" s="76"/>
      <c r="AS28" s="76"/>
    </row>
    <row r="29" ht="71.25" customHeight="1">
      <c r="A29" s="48"/>
      <c r="B29" s="49"/>
      <c r="C29" s="51"/>
      <c r="D29" s="51"/>
      <c r="E29" s="51"/>
      <c r="F29" s="51"/>
      <c r="G29" s="54"/>
      <c r="H29" s="54"/>
      <c r="I29" s="51"/>
      <c r="J29" s="77"/>
      <c r="K29" s="55"/>
      <c r="L29" s="56"/>
      <c r="M29" s="57"/>
      <c r="N29" s="57"/>
      <c r="O29" s="58"/>
      <c r="P29" s="57"/>
      <c r="Q29" s="59"/>
      <c r="R29" s="59"/>
      <c r="S29" s="59"/>
      <c r="T29" s="60"/>
      <c r="U29" s="58"/>
      <c r="V29" s="61"/>
      <c r="W29" s="62"/>
      <c r="X29" s="63"/>
      <c r="Y29" s="63"/>
      <c r="Z29" s="63"/>
      <c r="AA29" s="63"/>
      <c r="AB29" s="64"/>
      <c r="AC29" s="65">
        <f t="shared" si="1"/>
        <v>0</v>
      </c>
      <c r="AD29" s="66" t="str">
        <f t="shared" si="2"/>
        <v>#DIV/0!</v>
      </c>
      <c r="AE29" s="67" t="str">
        <f t="shared" si="3"/>
        <v>#DIV/0!</v>
      </c>
      <c r="AF29" s="66" t="str">
        <f t="shared" si="4"/>
        <v>#DIV/0!</v>
      </c>
      <c r="AG29" s="68">
        <f t="shared" si="5"/>
        <v>0</v>
      </c>
      <c r="AH29" s="69"/>
      <c r="AI29" s="70"/>
      <c r="AJ29" s="71" t="str">
        <f>VLOOKUP(AH29,'CODART PRODUCTO'!B:C,2,FALSE)</f>
        <v>#N/A</v>
      </c>
      <c r="AK29" s="72" t="str">
        <f>VLOOKUP(AI29,'CODART ORIGEN'!B:C,2,FALSE)</f>
        <v>#N/A</v>
      </c>
      <c r="AL29" s="72" t="str">
        <f>VLOOKUP(B29,'CODART RESPONSABLE'!B:C,2,FALSE)</f>
        <v>#N/A</v>
      </c>
      <c r="AM29" s="73" t="str">
        <f t="shared" si="6"/>
        <v/>
      </c>
      <c r="AN29" s="74" t="str">
        <f t="shared" si="7"/>
        <v>VERIFICAR CANTIDADES COTIZADAS</v>
      </c>
      <c r="AO29" s="75" t="str">
        <f t="shared" si="8"/>
        <v/>
      </c>
      <c r="AP29" s="76" t="str">
        <f t="shared" si="9"/>
        <v/>
      </c>
      <c r="AQ29" s="76"/>
      <c r="AR29" s="76"/>
      <c r="AS29" s="76"/>
    </row>
    <row r="30" ht="71.25" customHeight="1">
      <c r="A30" s="48"/>
      <c r="B30" s="49"/>
      <c r="C30" s="51"/>
      <c r="D30" s="51"/>
      <c r="E30" s="51"/>
      <c r="F30" s="51"/>
      <c r="G30" s="54"/>
      <c r="H30" s="54"/>
      <c r="I30" s="51"/>
      <c r="J30" s="77"/>
      <c r="K30" s="55"/>
      <c r="L30" s="56"/>
      <c r="M30" s="57"/>
      <c r="N30" s="57"/>
      <c r="O30" s="58"/>
      <c r="P30" s="57"/>
      <c r="Q30" s="59"/>
      <c r="R30" s="59"/>
      <c r="S30" s="59"/>
      <c r="T30" s="60"/>
      <c r="U30" s="58"/>
      <c r="V30" s="61"/>
      <c r="W30" s="62"/>
      <c r="X30" s="63"/>
      <c r="Y30" s="63"/>
      <c r="Z30" s="63"/>
      <c r="AA30" s="63"/>
      <c r="AB30" s="64"/>
      <c r="AC30" s="65">
        <f t="shared" si="1"/>
        <v>0</v>
      </c>
      <c r="AD30" s="66" t="str">
        <f t="shared" si="2"/>
        <v>#DIV/0!</v>
      </c>
      <c r="AE30" s="67" t="str">
        <f t="shared" si="3"/>
        <v>#DIV/0!</v>
      </c>
      <c r="AF30" s="66" t="str">
        <f t="shared" si="4"/>
        <v>#DIV/0!</v>
      </c>
      <c r="AG30" s="68">
        <f t="shared" si="5"/>
        <v>0</v>
      </c>
      <c r="AH30" s="69"/>
      <c r="AI30" s="70"/>
      <c r="AJ30" s="71" t="str">
        <f>VLOOKUP(AH30,'CODART PRODUCTO'!B:C,2,FALSE)</f>
        <v>#N/A</v>
      </c>
      <c r="AK30" s="72" t="str">
        <f>VLOOKUP(AI30,'CODART ORIGEN'!B:C,2,FALSE)</f>
        <v>#N/A</v>
      </c>
      <c r="AL30" s="72" t="str">
        <f>VLOOKUP(B30,'CODART RESPONSABLE'!B:C,2,FALSE)</f>
        <v>#N/A</v>
      </c>
      <c r="AM30" s="73" t="str">
        <f t="shared" si="6"/>
        <v/>
      </c>
      <c r="AN30" s="74" t="str">
        <f t="shared" si="7"/>
        <v>VERIFICAR CANTIDADES COTIZADAS</v>
      </c>
      <c r="AO30" s="75" t="str">
        <f t="shared" si="8"/>
        <v/>
      </c>
      <c r="AP30" s="76" t="str">
        <f t="shared" si="9"/>
        <v/>
      </c>
      <c r="AQ30" s="76"/>
      <c r="AR30" s="76"/>
      <c r="AS30" s="76"/>
    </row>
    <row r="31" ht="71.25" customHeight="1">
      <c r="A31" s="48"/>
      <c r="B31" s="49"/>
      <c r="C31" s="51"/>
      <c r="D31" s="51"/>
      <c r="E31" s="51"/>
      <c r="F31" s="51"/>
      <c r="G31" s="54"/>
      <c r="H31" s="54"/>
      <c r="I31" s="51"/>
      <c r="J31" s="77"/>
      <c r="K31" s="55"/>
      <c r="L31" s="56"/>
      <c r="M31" s="57"/>
      <c r="N31" s="57"/>
      <c r="O31" s="58"/>
      <c r="P31" s="57"/>
      <c r="Q31" s="59"/>
      <c r="R31" s="59"/>
      <c r="S31" s="59"/>
      <c r="T31" s="60"/>
      <c r="U31" s="58"/>
      <c r="V31" s="61"/>
      <c r="W31" s="62"/>
      <c r="X31" s="63"/>
      <c r="Y31" s="63"/>
      <c r="Z31" s="63"/>
      <c r="AA31" s="63"/>
      <c r="AB31" s="64"/>
      <c r="AC31" s="65">
        <f t="shared" si="1"/>
        <v>0</v>
      </c>
      <c r="AD31" s="66" t="str">
        <f t="shared" si="2"/>
        <v>#DIV/0!</v>
      </c>
      <c r="AE31" s="67" t="str">
        <f t="shared" si="3"/>
        <v>#DIV/0!</v>
      </c>
      <c r="AF31" s="66" t="str">
        <f t="shared" si="4"/>
        <v>#DIV/0!</v>
      </c>
      <c r="AG31" s="68">
        <f t="shared" si="5"/>
        <v>0</v>
      </c>
      <c r="AH31" s="69"/>
      <c r="AI31" s="70"/>
      <c r="AJ31" s="71" t="str">
        <f>VLOOKUP(AH31,'CODART PRODUCTO'!B:C,2,FALSE)</f>
        <v>#N/A</v>
      </c>
      <c r="AK31" s="72" t="str">
        <f>VLOOKUP(AI31,'CODART ORIGEN'!B:C,2,FALSE)</f>
        <v>#N/A</v>
      </c>
      <c r="AL31" s="72" t="str">
        <f>VLOOKUP(B31,'CODART RESPONSABLE'!B:C,2,FALSE)</f>
        <v>#N/A</v>
      </c>
      <c r="AM31" s="73" t="str">
        <f t="shared" si="6"/>
        <v/>
      </c>
      <c r="AN31" s="74" t="str">
        <f t="shared" si="7"/>
        <v>VERIFICAR CANTIDADES COTIZADAS</v>
      </c>
      <c r="AO31" s="75" t="str">
        <f t="shared" si="8"/>
        <v/>
      </c>
      <c r="AP31" s="76" t="str">
        <f t="shared" si="9"/>
        <v/>
      </c>
      <c r="AQ31" s="76"/>
      <c r="AR31" s="76"/>
      <c r="AS31" s="76"/>
    </row>
    <row r="32" ht="71.25" customHeight="1">
      <c r="A32" s="48"/>
      <c r="B32" s="49"/>
      <c r="C32" s="51"/>
      <c r="D32" s="51"/>
      <c r="E32" s="51"/>
      <c r="F32" s="51"/>
      <c r="G32" s="54"/>
      <c r="H32" s="54"/>
      <c r="I32" s="51"/>
      <c r="J32" s="77"/>
      <c r="K32" s="55"/>
      <c r="L32" s="56"/>
      <c r="M32" s="57"/>
      <c r="N32" s="57"/>
      <c r="O32" s="58"/>
      <c r="P32" s="57"/>
      <c r="Q32" s="59"/>
      <c r="R32" s="59"/>
      <c r="S32" s="59"/>
      <c r="T32" s="60"/>
      <c r="U32" s="58"/>
      <c r="V32" s="61"/>
      <c r="W32" s="62"/>
      <c r="X32" s="63"/>
      <c r="Y32" s="63"/>
      <c r="Z32" s="63"/>
      <c r="AA32" s="63"/>
      <c r="AB32" s="64"/>
      <c r="AC32" s="65">
        <f t="shared" si="1"/>
        <v>0</v>
      </c>
      <c r="AD32" s="66" t="str">
        <f t="shared" si="2"/>
        <v>#DIV/0!</v>
      </c>
      <c r="AE32" s="67" t="str">
        <f t="shared" si="3"/>
        <v>#DIV/0!</v>
      </c>
      <c r="AF32" s="66" t="str">
        <f t="shared" si="4"/>
        <v>#DIV/0!</v>
      </c>
      <c r="AG32" s="68">
        <f t="shared" si="5"/>
        <v>0</v>
      </c>
      <c r="AH32" s="69"/>
      <c r="AI32" s="70"/>
      <c r="AJ32" s="71" t="str">
        <f>VLOOKUP(AH32,'CODART PRODUCTO'!B:C,2,FALSE)</f>
        <v>#N/A</v>
      </c>
      <c r="AK32" s="72" t="str">
        <f>VLOOKUP(AI32,'CODART ORIGEN'!B:C,2,FALSE)</f>
        <v>#N/A</v>
      </c>
      <c r="AL32" s="72" t="str">
        <f>VLOOKUP(B32,'CODART RESPONSABLE'!B:C,2,FALSE)</f>
        <v>#N/A</v>
      </c>
      <c r="AM32" s="73" t="str">
        <f t="shared" si="6"/>
        <v/>
      </c>
      <c r="AN32" s="74" t="str">
        <f t="shared" si="7"/>
        <v>VERIFICAR CANTIDADES COTIZADAS</v>
      </c>
      <c r="AO32" s="75" t="str">
        <f t="shared" si="8"/>
        <v/>
      </c>
      <c r="AP32" s="76" t="str">
        <f t="shared" si="9"/>
        <v/>
      </c>
      <c r="AQ32" s="76"/>
      <c r="AR32" s="76"/>
      <c r="AS32" s="76"/>
    </row>
    <row r="33" ht="71.25" customHeight="1">
      <c r="A33" s="48"/>
      <c r="B33" s="49"/>
      <c r="C33" s="51"/>
      <c r="D33" s="51"/>
      <c r="E33" s="51"/>
      <c r="F33" s="51"/>
      <c r="G33" s="54"/>
      <c r="H33" s="54"/>
      <c r="I33" s="51"/>
      <c r="J33" s="77"/>
      <c r="K33" s="55"/>
      <c r="L33" s="56"/>
      <c r="M33" s="57"/>
      <c r="N33" s="57"/>
      <c r="O33" s="58"/>
      <c r="P33" s="57"/>
      <c r="Q33" s="59"/>
      <c r="R33" s="59"/>
      <c r="S33" s="59"/>
      <c r="T33" s="60"/>
      <c r="U33" s="58"/>
      <c r="V33" s="61"/>
      <c r="W33" s="62"/>
      <c r="X33" s="63"/>
      <c r="Y33" s="63"/>
      <c r="Z33" s="63"/>
      <c r="AA33" s="63"/>
      <c r="AB33" s="64"/>
      <c r="AC33" s="65">
        <f t="shared" si="1"/>
        <v>0</v>
      </c>
      <c r="AD33" s="66" t="str">
        <f t="shared" si="2"/>
        <v>#DIV/0!</v>
      </c>
      <c r="AE33" s="67" t="str">
        <f t="shared" si="3"/>
        <v>#DIV/0!</v>
      </c>
      <c r="AF33" s="66" t="str">
        <f t="shared" si="4"/>
        <v>#DIV/0!</v>
      </c>
      <c r="AG33" s="68">
        <f t="shared" si="5"/>
        <v>0</v>
      </c>
      <c r="AH33" s="69"/>
      <c r="AI33" s="70"/>
      <c r="AJ33" s="71" t="str">
        <f>VLOOKUP(AH33,'CODART PRODUCTO'!B:C,2,FALSE)</f>
        <v>#N/A</v>
      </c>
      <c r="AK33" s="72" t="str">
        <f>VLOOKUP(AI33,'CODART ORIGEN'!B:C,2,FALSE)</f>
        <v>#N/A</v>
      </c>
      <c r="AL33" s="72" t="str">
        <f>VLOOKUP(B33,'CODART RESPONSABLE'!B:C,2,FALSE)</f>
        <v>#N/A</v>
      </c>
      <c r="AM33" s="73" t="str">
        <f t="shared" si="6"/>
        <v/>
      </c>
      <c r="AN33" s="74" t="str">
        <f t="shared" si="7"/>
        <v>VERIFICAR CANTIDADES COTIZADAS</v>
      </c>
      <c r="AO33" s="75" t="str">
        <f t="shared" si="8"/>
        <v/>
      </c>
      <c r="AP33" s="76" t="str">
        <f t="shared" si="9"/>
        <v/>
      </c>
      <c r="AQ33" s="76"/>
      <c r="AR33" s="76"/>
      <c r="AS33" s="76"/>
    </row>
    <row r="34" ht="71.25" customHeight="1">
      <c r="A34" s="48"/>
      <c r="B34" s="49"/>
      <c r="C34" s="51"/>
      <c r="D34" s="51"/>
      <c r="E34" s="51"/>
      <c r="F34" s="51"/>
      <c r="G34" s="54"/>
      <c r="H34" s="54"/>
      <c r="I34" s="51"/>
      <c r="J34" s="77"/>
      <c r="K34" s="55"/>
      <c r="L34" s="56"/>
      <c r="M34" s="57"/>
      <c r="N34" s="57"/>
      <c r="O34" s="58"/>
      <c r="P34" s="57"/>
      <c r="Q34" s="59"/>
      <c r="R34" s="59"/>
      <c r="S34" s="59"/>
      <c r="T34" s="60"/>
      <c r="U34" s="58"/>
      <c r="V34" s="61"/>
      <c r="W34" s="62"/>
      <c r="X34" s="63"/>
      <c r="Y34" s="63"/>
      <c r="Z34" s="63"/>
      <c r="AA34" s="63"/>
      <c r="AB34" s="64"/>
      <c r="AC34" s="65">
        <f t="shared" si="1"/>
        <v>0</v>
      </c>
      <c r="AD34" s="66" t="str">
        <f t="shared" si="2"/>
        <v>#DIV/0!</v>
      </c>
      <c r="AE34" s="67" t="str">
        <f t="shared" si="3"/>
        <v>#DIV/0!</v>
      </c>
      <c r="AF34" s="66" t="str">
        <f t="shared" si="4"/>
        <v>#DIV/0!</v>
      </c>
      <c r="AG34" s="68">
        <f t="shared" si="5"/>
        <v>0</v>
      </c>
      <c r="AH34" s="69"/>
      <c r="AI34" s="70"/>
      <c r="AJ34" s="71" t="str">
        <f>VLOOKUP(AH34,'CODART PRODUCTO'!B:C,2,FALSE)</f>
        <v>#N/A</v>
      </c>
      <c r="AK34" s="72" t="str">
        <f>VLOOKUP(AI34,'CODART ORIGEN'!B:C,2,FALSE)</f>
        <v>#N/A</v>
      </c>
      <c r="AL34" s="72" t="str">
        <f>VLOOKUP(B34,'CODART RESPONSABLE'!B:C,2,FALSE)</f>
        <v>#N/A</v>
      </c>
      <c r="AM34" s="73" t="str">
        <f t="shared" si="6"/>
        <v/>
      </c>
      <c r="AN34" s="74" t="str">
        <f t="shared" si="7"/>
        <v>VERIFICAR CANTIDADES COTIZADAS</v>
      </c>
      <c r="AO34" s="75" t="str">
        <f t="shared" si="8"/>
        <v/>
      </c>
      <c r="AP34" s="76" t="str">
        <f t="shared" si="9"/>
        <v/>
      </c>
      <c r="AQ34" s="76"/>
      <c r="AR34" s="76"/>
      <c r="AS34" s="76"/>
    </row>
    <row r="35" ht="71.25" customHeight="1">
      <c r="A35" s="48"/>
      <c r="B35" s="49"/>
      <c r="C35" s="51"/>
      <c r="D35" s="51"/>
      <c r="E35" s="51"/>
      <c r="F35" s="51"/>
      <c r="G35" s="54"/>
      <c r="H35" s="54"/>
      <c r="I35" s="51"/>
      <c r="J35" s="77"/>
      <c r="K35" s="55"/>
      <c r="L35" s="56"/>
      <c r="M35" s="57"/>
      <c r="N35" s="57"/>
      <c r="O35" s="58"/>
      <c r="P35" s="57"/>
      <c r="Q35" s="59"/>
      <c r="R35" s="59"/>
      <c r="S35" s="59"/>
      <c r="T35" s="60"/>
      <c r="U35" s="58"/>
      <c r="V35" s="61"/>
      <c r="W35" s="62"/>
      <c r="X35" s="63"/>
      <c r="Y35" s="63"/>
      <c r="Z35" s="63"/>
      <c r="AA35" s="63"/>
      <c r="AB35" s="64"/>
      <c r="AC35" s="65">
        <f t="shared" si="1"/>
        <v>0</v>
      </c>
      <c r="AD35" s="66" t="str">
        <f t="shared" si="2"/>
        <v>#DIV/0!</v>
      </c>
      <c r="AE35" s="67" t="str">
        <f t="shared" si="3"/>
        <v>#DIV/0!</v>
      </c>
      <c r="AF35" s="66" t="str">
        <f t="shared" si="4"/>
        <v>#DIV/0!</v>
      </c>
      <c r="AG35" s="68">
        <f t="shared" si="5"/>
        <v>0</v>
      </c>
      <c r="AH35" s="69"/>
      <c r="AI35" s="70"/>
      <c r="AJ35" s="71" t="str">
        <f>VLOOKUP(AH35,'CODART PRODUCTO'!B:C,2,FALSE)</f>
        <v>#N/A</v>
      </c>
      <c r="AK35" s="72" t="str">
        <f>VLOOKUP(AI35,'CODART ORIGEN'!B:C,2,FALSE)</f>
        <v>#N/A</v>
      </c>
      <c r="AL35" s="72" t="str">
        <f>VLOOKUP(B35,'CODART RESPONSABLE'!B:C,2,FALSE)</f>
        <v>#N/A</v>
      </c>
      <c r="AM35" s="73" t="str">
        <f t="shared" si="6"/>
        <v/>
      </c>
      <c r="AN35" s="74" t="str">
        <f t="shared" si="7"/>
        <v>VERIFICAR CANTIDADES COTIZADAS</v>
      </c>
      <c r="AO35" s="75" t="str">
        <f t="shared" si="8"/>
        <v/>
      </c>
      <c r="AP35" s="76" t="str">
        <f t="shared" si="9"/>
        <v/>
      </c>
      <c r="AQ35" s="76"/>
      <c r="AR35" s="76"/>
      <c r="AS35" s="76"/>
    </row>
    <row r="36" ht="71.25" customHeight="1">
      <c r="A36" s="48"/>
      <c r="B36" s="49"/>
      <c r="C36" s="51"/>
      <c r="D36" s="51"/>
      <c r="E36" s="51"/>
      <c r="F36" s="51"/>
      <c r="G36" s="54"/>
      <c r="H36" s="54"/>
      <c r="I36" s="51"/>
      <c r="J36" s="77"/>
      <c r="K36" s="55"/>
      <c r="L36" s="56"/>
      <c r="M36" s="57"/>
      <c r="N36" s="57"/>
      <c r="O36" s="58"/>
      <c r="P36" s="57"/>
      <c r="Q36" s="59"/>
      <c r="R36" s="59"/>
      <c r="S36" s="59"/>
      <c r="T36" s="60"/>
      <c r="U36" s="58"/>
      <c r="V36" s="61"/>
      <c r="W36" s="62"/>
      <c r="X36" s="63"/>
      <c r="Y36" s="63"/>
      <c r="Z36" s="63"/>
      <c r="AA36" s="63"/>
      <c r="AB36" s="64"/>
      <c r="AC36" s="65">
        <f t="shared" si="1"/>
        <v>0</v>
      </c>
      <c r="AD36" s="66" t="str">
        <f t="shared" si="2"/>
        <v>#DIV/0!</v>
      </c>
      <c r="AE36" s="67" t="str">
        <f t="shared" si="3"/>
        <v>#DIV/0!</v>
      </c>
      <c r="AF36" s="66" t="str">
        <f t="shared" si="4"/>
        <v>#DIV/0!</v>
      </c>
      <c r="AG36" s="68">
        <f t="shared" si="5"/>
        <v>0</v>
      </c>
      <c r="AH36" s="69"/>
      <c r="AI36" s="70"/>
      <c r="AJ36" s="71" t="str">
        <f>VLOOKUP(AH36,'CODART PRODUCTO'!B:C,2,FALSE)</f>
        <v>#N/A</v>
      </c>
      <c r="AK36" s="72" t="str">
        <f>VLOOKUP(AI36,'CODART ORIGEN'!B:C,2,FALSE)</f>
        <v>#N/A</v>
      </c>
      <c r="AL36" s="72" t="str">
        <f>VLOOKUP(B36,'CODART RESPONSABLE'!B:C,2,FALSE)</f>
        <v>#N/A</v>
      </c>
      <c r="AM36" s="73" t="str">
        <f t="shared" si="6"/>
        <v/>
      </c>
      <c r="AN36" s="74" t="str">
        <f t="shared" si="7"/>
        <v>VERIFICAR CANTIDADES COTIZADAS</v>
      </c>
      <c r="AO36" s="75" t="str">
        <f t="shared" si="8"/>
        <v/>
      </c>
      <c r="AP36" s="76" t="str">
        <f t="shared" si="9"/>
        <v/>
      </c>
      <c r="AQ36" s="76"/>
      <c r="AR36" s="76"/>
      <c r="AS36" s="76"/>
    </row>
    <row r="37" ht="71.25" customHeight="1">
      <c r="A37" s="48"/>
      <c r="B37" s="49"/>
      <c r="C37" s="51"/>
      <c r="D37" s="51"/>
      <c r="E37" s="51"/>
      <c r="F37" s="51"/>
      <c r="G37" s="54"/>
      <c r="H37" s="54"/>
      <c r="I37" s="51"/>
      <c r="J37" s="77"/>
      <c r="K37" s="55"/>
      <c r="L37" s="56"/>
      <c r="M37" s="57"/>
      <c r="N37" s="57"/>
      <c r="O37" s="58"/>
      <c r="P37" s="57"/>
      <c r="Q37" s="59"/>
      <c r="R37" s="59"/>
      <c r="S37" s="59"/>
      <c r="T37" s="60"/>
      <c r="U37" s="58"/>
      <c r="V37" s="61"/>
      <c r="W37" s="62"/>
      <c r="X37" s="63"/>
      <c r="Y37" s="63"/>
      <c r="Z37" s="63"/>
      <c r="AA37" s="63"/>
      <c r="AB37" s="64"/>
      <c r="AC37" s="65">
        <f t="shared" si="1"/>
        <v>0</v>
      </c>
      <c r="AD37" s="66" t="str">
        <f t="shared" si="2"/>
        <v>#DIV/0!</v>
      </c>
      <c r="AE37" s="67" t="str">
        <f t="shared" si="3"/>
        <v>#DIV/0!</v>
      </c>
      <c r="AF37" s="66" t="str">
        <f t="shared" si="4"/>
        <v>#DIV/0!</v>
      </c>
      <c r="AG37" s="68">
        <f t="shared" si="5"/>
        <v>0</v>
      </c>
      <c r="AH37" s="69"/>
      <c r="AI37" s="70"/>
      <c r="AJ37" s="71" t="str">
        <f>VLOOKUP(AH37,'CODART PRODUCTO'!B:C,2,FALSE)</f>
        <v>#N/A</v>
      </c>
      <c r="AK37" s="72" t="str">
        <f>VLOOKUP(AI37,'CODART ORIGEN'!B:C,2,FALSE)</f>
        <v>#N/A</v>
      </c>
      <c r="AL37" s="72" t="str">
        <f>VLOOKUP(B37,'CODART RESPONSABLE'!B:C,2,FALSE)</f>
        <v>#N/A</v>
      </c>
      <c r="AM37" s="73" t="str">
        <f t="shared" si="6"/>
        <v/>
      </c>
      <c r="AN37" s="74" t="str">
        <f t="shared" si="7"/>
        <v>VERIFICAR CANTIDADES COTIZADAS</v>
      </c>
      <c r="AO37" s="75" t="str">
        <f t="shared" si="8"/>
        <v/>
      </c>
      <c r="AP37" s="76" t="str">
        <f t="shared" si="9"/>
        <v/>
      </c>
      <c r="AQ37" s="76"/>
      <c r="AR37" s="76"/>
      <c r="AS37" s="76"/>
    </row>
    <row r="38" ht="71.25" customHeight="1">
      <c r="A38" s="48"/>
      <c r="B38" s="49"/>
      <c r="C38" s="51"/>
      <c r="D38" s="51"/>
      <c r="E38" s="51"/>
      <c r="F38" s="51"/>
      <c r="G38" s="54"/>
      <c r="H38" s="54"/>
      <c r="I38" s="51"/>
      <c r="J38" s="77"/>
      <c r="K38" s="55"/>
      <c r="L38" s="56"/>
      <c r="M38" s="57"/>
      <c r="N38" s="57"/>
      <c r="O38" s="58"/>
      <c r="P38" s="57"/>
      <c r="Q38" s="59"/>
      <c r="R38" s="59"/>
      <c r="S38" s="59"/>
      <c r="T38" s="60"/>
      <c r="U38" s="58"/>
      <c r="V38" s="61"/>
      <c r="W38" s="62"/>
      <c r="X38" s="63"/>
      <c r="Y38" s="63"/>
      <c r="Z38" s="63"/>
      <c r="AA38" s="63"/>
      <c r="AB38" s="64"/>
      <c r="AC38" s="65">
        <f t="shared" si="1"/>
        <v>0</v>
      </c>
      <c r="AD38" s="66" t="str">
        <f t="shared" si="2"/>
        <v>#DIV/0!</v>
      </c>
      <c r="AE38" s="67" t="str">
        <f t="shared" si="3"/>
        <v>#DIV/0!</v>
      </c>
      <c r="AF38" s="66" t="str">
        <f t="shared" si="4"/>
        <v>#DIV/0!</v>
      </c>
      <c r="AG38" s="68">
        <f t="shared" si="5"/>
        <v>0</v>
      </c>
      <c r="AH38" s="69"/>
      <c r="AI38" s="70"/>
      <c r="AJ38" s="71" t="str">
        <f>VLOOKUP(AH38,'CODART PRODUCTO'!B:C,2,FALSE)</f>
        <v>#N/A</v>
      </c>
      <c r="AK38" s="72" t="str">
        <f>VLOOKUP(AI38,'CODART ORIGEN'!B:C,2,FALSE)</f>
        <v>#N/A</v>
      </c>
      <c r="AL38" s="72" t="str">
        <f>VLOOKUP(B38,'CODART RESPONSABLE'!B:C,2,FALSE)</f>
        <v>#N/A</v>
      </c>
      <c r="AM38" s="73" t="str">
        <f t="shared" si="6"/>
        <v/>
      </c>
      <c r="AN38" s="74" t="str">
        <f t="shared" si="7"/>
        <v>VERIFICAR CANTIDADES COTIZADAS</v>
      </c>
      <c r="AO38" s="75" t="str">
        <f t="shared" si="8"/>
        <v/>
      </c>
      <c r="AP38" s="76" t="str">
        <f t="shared" si="9"/>
        <v/>
      </c>
      <c r="AQ38" s="76"/>
      <c r="AR38" s="76"/>
      <c r="AS38" s="76"/>
    </row>
    <row r="39" ht="71.25" customHeight="1">
      <c r="A39" s="48"/>
      <c r="B39" s="49"/>
      <c r="C39" s="51"/>
      <c r="D39" s="51"/>
      <c r="E39" s="51"/>
      <c r="F39" s="51"/>
      <c r="G39" s="54"/>
      <c r="H39" s="54"/>
      <c r="I39" s="51"/>
      <c r="J39" s="77"/>
      <c r="K39" s="55"/>
      <c r="L39" s="56"/>
      <c r="M39" s="57"/>
      <c r="N39" s="57"/>
      <c r="O39" s="58"/>
      <c r="P39" s="57"/>
      <c r="Q39" s="59"/>
      <c r="R39" s="59"/>
      <c r="S39" s="59"/>
      <c r="T39" s="60"/>
      <c r="U39" s="58"/>
      <c r="V39" s="61"/>
      <c r="W39" s="62"/>
      <c r="X39" s="63"/>
      <c r="Y39" s="63"/>
      <c r="Z39" s="63"/>
      <c r="AA39" s="63"/>
      <c r="AB39" s="64"/>
      <c r="AC39" s="65">
        <f t="shared" si="1"/>
        <v>0</v>
      </c>
      <c r="AD39" s="66" t="str">
        <f t="shared" si="2"/>
        <v>#DIV/0!</v>
      </c>
      <c r="AE39" s="67" t="str">
        <f t="shared" si="3"/>
        <v>#DIV/0!</v>
      </c>
      <c r="AF39" s="66" t="str">
        <f t="shared" si="4"/>
        <v>#DIV/0!</v>
      </c>
      <c r="AG39" s="68">
        <f t="shared" si="5"/>
        <v>0</v>
      </c>
      <c r="AH39" s="69"/>
      <c r="AI39" s="70"/>
      <c r="AJ39" s="71" t="str">
        <f>VLOOKUP(AH39,'CODART PRODUCTO'!B:C,2,FALSE)</f>
        <v>#N/A</v>
      </c>
      <c r="AK39" s="72" t="str">
        <f>VLOOKUP(AI39,'CODART ORIGEN'!B:C,2,FALSE)</f>
        <v>#N/A</v>
      </c>
      <c r="AL39" s="72" t="str">
        <f>VLOOKUP(B39,'CODART RESPONSABLE'!B:C,2,FALSE)</f>
        <v>#N/A</v>
      </c>
      <c r="AM39" s="73" t="str">
        <f t="shared" si="6"/>
        <v/>
      </c>
      <c r="AN39" s="74" t="str">
        <f t="shared" si="7"/>
        <v>VERIFICAR CANTIDADES COTIZADAS</v>
      </c>
      <c r="AO39" s="75" t="str">
        <f t="shared" si="8"/>
        <v/>
      </c>
      <c r="AP39" s="76" t="str">
        <f t="shared" si="9"/>
        <v/>
      </c>
      <c r="AQ39" s="76"/>
      <c r="AR39" s="76"/>
      <c r="AS39" s="76"/>
    </row>
    <row r="40" ht="71.25" customHeight="1">
      <c r="A40" s="48"/>
      <c r="B40" s="49"/>
      <c r="C40" s="51"/>
      <c r="D40" s="51"/>
      <c r="E40" s="51"/>
      <c r="F40" s="51"/>
      <c r="G40" s="54"/>
      <c r="H40" s="54"/>
      <c r="I40" s="51"/>
      <c r="J40" s="77"/>
      <c r="K40" s="55"/>
      <c r="L40" s="56"/>
      <c r="M40" s="57"/>
      <c r="N40" s="57"/>
      <c r="O40" s="58"/>
      <c r="P40" s="57"/>
      <c r="Q40" s="59"/>
      <c r="R40" s="59"/>
      <c r="S40" s="59"/>
      <c r="T40" s="60"/>
      <c r="U40" s="58"/>
      <c r="V40" s="61"/>
      <c r="W40" s="62"/>
      <c r="X40" s="63"/>
      <c r="Y40" s="63"/>
      <c r="Z40" s="63"/>
      <c r="AA40" s="63"/>
      <c r="AB40" s="64"/>
      <c r="AC40" s="65">
        <f t="shared" si="1"/>
        <v>0</v>
      </c>
      <c r="AD40" s="66" t="str">
        <f t="shared" si="2"/>
        <v>#DIV/0!</v>
      </c>
      <c r="AE40" s="67" t="str">
        <f t="shared" si="3"/>
        <v>#DIV/0!</v>
      </c>
      <c r="AF40" s="66" t="str">
        <f t="shared" si="4"/>
        <v>#DIV/0!</v>
      </c>
      <c r="AG40" s="68">
        <f t="shared" si="5"/>
        <v>0</v>
      </c>
      <c r="AH40" s="69"/>
      <c r="AI40" s="70"/>
      <c r="AJ40" s="71" t="str">
        <f>VLOOKUP(AH40,'CODART PRODUCTO'!B:C,2,FALSE)</f>
        <v>#N/A</v>
      </c>
      <c r="AK40" s="72" t="str">
        <f>VLOOKUP(AI40,'CODART ORIGEN'!B:C,2,FALSE)</f>
        <v>#N/A</v>
      </c>
      <c r="AL40" s="72" t="str">
        <f>VLOOKUP(B40,'CODART RESPONSABLE'!B:C,2,FALSE)</f>
        <v>#N/A</v>
      </c>
      <c r="AM40" s="73" t="str">
        <f t="shared" si="6"/>
        <v/>
      </c>
      <c r="AN40" s="74" t="str">
        <f t="shared" si="7"/>
        <v>VERIFICAR CANTIDADES COTIZADAS</v>
      </c>
      <c r="AO40" s="75" t="str">
        <f t="shared" si="8"/>
        <v/>
      </c>
      <c r="AP40" s="76" t="str">
        <f t="shared" si="9"/>
        <v/>
      </c>
      <c r="AQ40" s="76"/>
      <c r="AR40" s="76"/>
      <c r="AS40" s="76"/>
    </row>
    <row r="41" ht="71.25" customHeight="1">
      <c r="A41" s="48"/>
      <c r="B41" s="49"/>
      <c r="C41" s="51"/>
      <c r="D41" s="51"/>
      <c r="E41" s="51"/>
      <c r="F41" s="51"/>
      <c r="G41" s="54"/>
      <c r="H41" s="54"/>
      <c r="I41" s="51"/>
      <c r="J41" s="77"/>
      <c r="K41" s="55"/>
      <c r="L41" s="56"/>
      <c r="M41" s="57"/>
      <c r="N41" s="57"/>
      <c r="O41" s="58"/>
      <c r="P41" s="57"/>
      <c r="Q41" s="59"/>
      <c r="R41" s="59"/>
      <c r="S41" s="59"/>
      <c r="T41" s="60"/>
      <c r="U41" s="58"/>
      <c r="V41" s="61"/>
      <c r="W41" s="62"/>
      <c r="X41" s="63"/>
      <c r="Y41" s="63"/>
      <c r="Z41" s="63"/>
      <c r="AA41" s="63"/>
      <c r="AB41" s="64"/>
      <c r="AC41" s="65">
        <f t="shared" si="1"/>
        <v>0</v>
      </c>
      <c r="AD41" s="66" t="str">
        <f t="shared" si="2"/>
        <v>#DIV/0!</v>
      </c>
      <c r="AE41" s="67" t="str">
        <f t="shared" si="3"/>
        <v>#DIV/0!</v>
      </c>
      <c r="AF41" s="66" t="str">
        <f t="shared" si="4"/>
        <v>#DIV/0!</v>
      </c>
      <c r="AG41" s="68">
        <f t="shared" si="5"/>
        <v>0</v>
      </c>
      <c r="AH41" s="69"/>
      <c r="AI41" s="70"/>
      <c r="AJ41" s="71" t="str">
        <f>VLOOKUP(AH41,'CODART PRODUCTO'!B:C,2,FALSE)</f>
        <v>#N/A</v>
      </c>
      <c r="AK41" s="72" t="str">
        <f>VLOOKUP(AI41,'CODART ORIGEN'!B:C,2,FALSE)</f>
        <v>#N/A</v>
      </c>
      <c r="AL41" s="72" t="str">
        <f>VLOOKUP(B41,'CODART RESPONSABLE'!B:C,2,FALSE)</f>
        <v>#N/A</v>
      </c>
      <c r="AM41" s="73" t="str">
        <f t="shared" si="6"/>
        <v/>
      </c>
      <c r="AN41" s="74" t="str">
        <f t="shared" si="7"/>
        <v>VERIFICAR CANTIDADES COTIZADAS</v>
      </c>
      <c r="AO41" s="75" t="str">
        <f t="shared" si="8"/>
        <v/>
      </c>
      <c r="AP41" s="76" t="str">
        <f t="shared" si="9"/>
        <v/>
      </c>
      <c r="AQ41" s="76"/>
      <c r="AR41" s="76"/>
      <c r="AS41" s="76"/>
    </row>
    <row r="42" ht="71.25" customHeight="1">
      <c r="A42" s="48"/>
      <c r="B42" s="49"/>
      <c r="C42" s="51"/>
      <c r="D42" s="51"/>
      <c r="E42" s="51"/>
      <c r="F42" s="51"/>
      <c r="G42" s="54"/>
      <c r="H42" s="54"/>
      <c r="I42" s="51"/>
      <c r="J42" s="77"/>
      <c r="K42" s="55"/>
      <c r="L42" s="56"/>
      <c r="M42" s="57"/>
      <c r="N42" s="57"/>
      <c r="O42" s="58"/>
      <c r="P42" s="57"/>
      <c r="Q42" s="59"/>
      <c r="R42" s="59"/>
      <c r="S42" s="59"/>
      <c r="T42" s="60"/>
      <c r="U42" s="58"/>
      <c r="V42" s="61"/>
      <c r="W42" s="62"/>
      <c r="X42" s="63"/>
      <c r="Y42" s="63"/>
      <c r="Z42" s="63"/>
      <c r="AA42" s="63"/>
      <c r="AB42" s="64"/>
      <c r="AC42" s="65">
        <f t="shared" si="1"/>
        <v>0</v>
      </c>
      <c r="AD42" s="66" t="str">
        <f t="shared" si="2"/>
        <v>#DIV/0!</v>
      </c>
      <c r="AE42" s="67" t="str">
        <f t="shared" si="3"/>
        <v>#DIV/0!</v>
      </c>
      <c r="AF42" s="66" t="str">
        <f t="shared" si="4"/>
        <v>#DIV/0!</v>
      </c>
      <c r="AG42" s="68">
        <f t="shared" si="5"/>
        <v>0</v>
      </c>
      <c r="AH42" s="69"/>
      <c r="AI42" s="70"/>
      <c r="AJ42" s="71" t="str">
        <f>VLOOKUP(AH42,'CODART PRODUCTO'!B:C,2,FALSE)</f>
        <v>#N/A</v>
      </c>
      <c r="AK42" s="72" t="str">
        <f>VLOOKUP(AI42,'CODART ORIGEN'!B:C,2,FALSE)</f>
        <v>#N/A</v>
      </c>
      <c r="AL42" s="72" t="str">
        <f>VLOOKUP(B42,'CODART RESPONSABLE'!B:C,2,FALSE)</f>
        <v>#N/A</v>
      </c>
      <c r="AM42" s="73" t="str">
        <f t="shared" si="6"/>
        <v/>
      </c>
      <c r="AN42" s="74" t="str">
        <f t="shared" si="7"/>
        <v>VERIFICAR CANTIDADES COTIZADAS</v>
      </c>
      <c r="AO42" s="75" t="str">
        <f t="shared" si="8"/>
        <v/>
      </c>
      <c r="AP42" s="76" t="str">
        <f t="shared" si="9"/>
        <v/>
      </c>
      <c r="AQ42" s="76"/>
      <c r="AR42" s="76"/>
      <c r="AS42" s="76"/>
    </row>
    <row r="43" ht="71.25" customHeight="1">
      <c r="A43" s="48"/>
      <c r="B43" s="49"/>
      <c r="C43" s="51"/>
      <c r="D43" s="51"/>
      <c r="E43" s="51"/>
      <c r="F43" s="51"/>
      <c r="G43" s="54"/>
      <c r="H43" s="54"/>
      <c r="I43" s="51"/>
      <c r="J43" s="77"/>
      <c r="K43" s="55"/>
      <c r="L43" s="56"/>
      <c r="M43" s="57"/>
      <c r="N43" s="57"/>
      <c r="O43" s="58"/>
      <c r="P43" s="57"/>
      <c r="Q43" s="59"/>
      <c r="R43" s="59"/>
      <c r="S43" s="59"/>
      <c r="T43" s="60"/>
      <c r="U43" s="58"/>
      <c r="V43" s="61"/>
      <c r="W43" s="62"/>
      <c r="X43" s="63"/>
      <c r="Y43" s="63"/>
      <c r="Z43" s="63"/>
      <c r="AA43" s="63"/>
      <c r="AB43" s="64"/>
      <c r="AC43" s="65">
        <f t="shared" si="1"/>
        <v>0</v>
      </c>
      <c r="AD43" s="66" t="str">
        <f t="shared" si="2"/>
        <v>#DIV/0!</v>
      </c>
      <c r="AE43" s="67" t="str">
        <f t="shared" si="3"/>
        <v>#DIV/0!</v>
      </c>
      <c r="AF43" s="66" t="str">
        <f t="shared" si="4"/>
        <v>#DIV/0!</v>
      </c>
      <c r="AG43" s="68">
        <f t="shared" si="5"/>
        <v>0</v>
      </c>
      <c r="AH43" s="69"/>
      <c r="AI43" s="70"/>
      <c r="AJ43" s="71" t="str">
        <f>VLOOKUP(AH43,'CODART PRODUCTO'!B:C,2,FALSE)</f>
        <v>#N/A</v>
      </c>
      <c r="AK43" s="72" t="str">
        <f>VLOOKUP(AI43,'CODART ORIGEN'!B:C,2,FALSE)</f>
        <v>#N/A</v>
      </c>
      <c r="AL43" s="72" t="str">
        <f>VLOOKUP(B43,'CODART RESPONSABLE'!B:C,2,FALSE)</f>
        <v>#N/A</v>
      </c>
      <c r="AM43" s="73" t="str">
        <f t="shared" si="6"/>
        <v/>
      </c>
      <c r="AN43" s="74" t="str">
        <f t="shared" si="7"/>
        <v>VERIFICAR CANTIDADES COTIZADAS</v>
      </c>
      <c r="AO43" s="75" t="str">
        <f t="shared" si="8"/>
        <v/>
      </c>
      <c r="AP43" s="76" t="str">
        <f t="shared" si="9"/>
        <v/>
      </c>
      <c r="AQ43" s="76"/>
      <c r="AR43" s="76"/>
      <c r="AS43" s="76"/>
    </row>
    <row r="44" ht="71.25" customHeight="1">
      <c r="A44" s="48"/>
      <c r="B44" s="49"/>
      <c r="C44" s="51"/>
      <c r="D44" s="51"/>
      <c r="E44" s="51"/>
      <c r="F44" s="51"/>
      <c r="G44" s="54"/>
      <c r="H44" s="54"/>
      <c r="I44" s="51"/>
      <c r="J44" s="77"/>
      <c r="K44" s="55"/>
      <c r="L44" s="56"/>
      <c r="M44" s="57"/>
      <c r="N44" s="57"/>
      <c r="O44" s="58"/>
      <c r="P44" s="57"/>
      <c r="Q44" s="59"/>
      <c r="R44" s="59"/>
      <c r="S44" s="59"/>
      <c r="T44" s="60"/>
      <c r="U44" s="58"/>
      <c r="V44" s="61"/>
      <c r="W44" s="62"/>
      <c r="X44" s="63"/>
      <c r="Y44" s="63"/>
      <c r="Z44" s="63"/>
      <c r="AA44" s="63"/>
      <c r="AB44" s="64"/>
      <c r="AC44" s="65">
        <f t="shared" si="1"/>
        <v>0</v>
      </c>
      <c r="AD44" s="66" t="str">
        <f t="shared" si="2"/>
        <v>#DIV/0!</v>
      </c>
      <c r="AE44" s="67" t="str">
        <f t="shared" si="3"/>
        <v>#DIV/0!</v>
      </c>
      <c r="AF44" s="66" t="str">
        <f t="shared" si="4"/>
        <v>#DIV/0!</v>
      </c>
      <c r="AG44" s="68">
        <f t="shared" si="5"/>
        <v>0</v>
      </c>
      <c r="AH44" s="69"/>
      <c r="AI44" s="70"/>
      <c r="AJ44" s="71" t="str">
        <f>VLOOKUP(AH44,'CODART PRODUCTO'!B:C,2,FALSE)</f>
        <v>#N/A</v>
      </c>
      <c r="AK44" s="72" t="str">
        <f>VLOOKUP(AI44,'CODART ORIGEN'!B:C,2,FALSE)</f>
        <v>#N/A</v>
      </c>
      <c r="AL44" s="72" t="str">
        <f>VLOOKUP(B44,'CODART RESPONSABLE'!B:C,2,FALSE)</f>
        <v>#N/A</v>
      </c>
      <c r="AM44" s="73" t="str">
        <f t="shared" si="6"/>
        <v/>
      </c>
      <c r="AN44" s="74" t="str">
        <f t="shared" si="7"/>
        <v>VERIFICAR CANTIDADES COTIZADAS</v>
      </c>
      <c r="AO44" s="75" t="str">
        <f t="shared" si="8"/>
        <v/>
      </c>
      <c r="AP44" s="76" t="str">
        <f t="shared" si="9"/>
        <v/>
      </c>
      <c r="AQ44" s="76"/>
      <c r="AR44" s="76"/>
      <c r="AS44" s="76"/>
    </row>
    <row r="45" ht="71.25" customHeight="1">
      <c r="A45" s="48"/>
      <c r="B45" s="49"/>
      <c r="C45" s="51"/>
      <c r="D45" s="51"/>
      <c r="E45" s="51"/>
      <c r="F45" s="51"/>
      <c r="G45" s="54"/>
      <c r="H45" s="54"/>
      <c r="I45" s="51"/>
      <c r="J45" s="77"/>
      <c r="K45" s="55"/>
      <c r="L45" s="56"/>
      <c r="M45" s="57"/>
      <c r="N45" s="57"/>
      <c r="O45" s="58"/>
      <c r="P45" s="57"/>
      <c r="Q45" s="59"/>
      <c r="R45" s="59"/>
      <c r="S45" s="59"/>
      <c r="T45" s="60"/>
      <c r="U45" s="58"/>
      <c r="V45" s="61"/>
      <c r="W45" s="62"/>
      <c r="X45" s="63"/>
      <c r="Y45" s="63"/>
      <c r="Z45" s="63"/>
      <c r="AA45" s="63"/>
      <c r="AB45" s="64"/>
      <c r="AC45" s="65">
        <f t="shared" si="1"/>
        <v>0</v>
      </c>
      <c r="AD45" s="66" t="str">
        <f t="shared" si="2"/>
        <v>#DIV/0!</v>
      </c>
      <c r="AE45" s="67" t="str">
        <f t="shared" si="3"/>
        <v>#DIV/0!</v>
      </c>
      <c r="AF45" s="66" t="str">
        <f t="shared" si="4"/>
        <v>#DIV/0!</v>
      </c>
      <c r="AG45" s="68">
        <f t="shared" si="5"/>
        <v>0</v>
      </c>
      <c r="AH45" s="69"/>
      <c r="AI45" s="70"/>
      <c r="AJ45" s="71" t="str">
        <f>VLOOKUP(AH45,'CODART PRODUCTO'!B:C,2,FALSE)</f>
        <v>#N/A</v>
      </c>
      <c r="AK45" s="72" t="str">
        <f>VLOOKUP(AI45,'CODART ORIGEN'!B:C,2,FALSE)</f>
        <v>#N/A</v>
      </c>
      <c r="AL45" s="72" t="str">
        <f>VLOOKUP(B45,'CODART RESPONSABLE'!B:C,2,FALSE)</f>
        <v>#N/A</v>
      </c>
      <c r="AM45" s="73" t="str">
        <f t="shared" si="6"/>
        <v/>
      </c>
      <c r="AN45" s="74" t="str">
        <f t="shared" si="7"/>
        <v>VERIFICAR CANTIDADES COTIZADAS</v>
      </c>
      <c r="AO45" s="75" t="str">
        <f t="shared" si="8"/>
        <v/>
      </c>
      <c r="AP45" s="76" t="str">
        <f t="shared" si="9"/>
        <v/>
      </c>
      <c r="AQ45" s="76"/>
      <c r="AR45" s="76"/>
      <c r="AS45" s="76"/>
    </row>
    <row r="46" ht="71.25" customHeight="1">
      <c r="A46" s="48"/>
      <c r="B46" s="49"/>
      <c r="C46" s="51"/>
      <c r="D46" s="51"/>
      <c r="E46" s="51"/>
      <c r="F46" s="51"/>
      <c r="G46" s="54"/>
      <c r="H46" s="54"/>
      <c r="I46" s="51"/>
      <c r="J46" s="77"/>
      <c r="K46" s="55"/>
      <c r="L46" s="56"/>
      <c r="M46" s="57"/>
      <c r="N46" s="57"/>
      <c r="O46" s="58"/>
      <c r="P46" s="57"/>
      <c r="Q46" s="59"/>
      <c r="R46" s="59"/>
      <c r="S46" s="59"/>
      <c r="T46" s="60"/>
      <c r="U46" s="58"/>
      <c r="V46" s="61"/>
      <c r="W46" s="62"/>
      <c r="X46" s="63"/>
      <c r="Y46" s="63"/>
      <c r="Z46" s="63"/>
      <c r="AA46" s="63"/>
      <c r="AB46" s="64"/>
      <c r="AC46" s="65">
        <f t="shared" si="1"/>
        <v>0</v>
      </c>
      <c r="AD46" s="66" t="str">
        <f t="shared" si="2"/>
        <v>#DIV/0!</v>
      </c>
      <c r="AE46" s="67" t="str">
        <f t="shared" si="3"/>
        <v>#DIV/0!</v>
      </c>
      <c r="AF46" s="66" t="str">
        <f t="shared" si="4"/>
        <v>#DIV/0!</v>
      </c>
      <c r="AG46" s="68">
        <f t="shared" si="5"/>
        <v>0</v>
      </c>
      <c r="AH46" s="69"/>
      <c r="AI46" s="70"/>
      <c r="AJ46" s="71" t="str">
        <f>VLOOKUP(AH46,'CODART PRODUCTO'!B:C,2,FALSE)</f>
        <v>#N/A</v>
      </c>
      <c r="AK46" s="72" t="str">
        <f>VLOOKUP(AI46,'CODART ORIGEN'!B:C,2,FALSE)</f>
        <v>#N/A</v>
      </c>
      <c r="AL46" s="72" t="str">
        <f>VLOOKUP(B46,'CODART RESPONSABLE'!B:C,2,FALSE)</f>
        <v>#N/A</v>
      </c>
      <c r="AM46" s="73" t="str">
        <f t="shared" si="6"/>
        <v/>
      </c>
      <c r="AN46" s="74" t="str">
        <f t="shared" si="7"/>
        <v>VERIFICAR CANTIDADES COTIZADAS</v>
      </c>
      <c r="AO46" s="75" t="str">
        <f t="shared" si="8"/>
        <v/>
      </c>
      <c r="AP46" s="76" t="str">
        <f t="shared" si="9"/>
        <v/>
      </c>
      <c r="AQ46" s="76"/>
      <c r="AR46" s="76"/>
      <c r="AS46" s="76"/>
    </row>
    <row r="47" ht="71.25" customHeight="1">
      <c r="A47" s="48"/>
      <c r="B47" s="49"/>
      <c r="C47" s="51"/>
      <c r="D47" s="51"/>
      <c r="E47" s="51"/>
      <c r="F47" s="51"/>
      <c r="G47" s="54"/>
      <c r="H47" s="54"/>
      <c r="I47" s="51"/>
      <c r="J47" s="77"/>
      <c r="K47" s="55"/>
      <c r="L47" s="56"/>
      <c r="M47" s="57"/>
      <c r="N47" s="57"/>
      <c r="O47" s="58"/>
      <c r="P47" s="57"/>
      <c r="Q47" s="59"/>
      <c r="R47" s="59"/>
      <c r="S47" s="59"/>
      <c r="T47" s="60"/>
      <c r="U47" s="58"/>
      <c r="V47" s="61"/>
      <c r="W47" s="62"/>
      <c r="X47" s="63"/>
      <c r="Y47" s="63"/>
      <c r="Z47" s="63"/>
      <c r="AA47" s="63"/>
      <c r="AB47" s="64"/>
      <c r="AC47" s="65">
        <f t="shared" si="1"/>
        <v>0</v>
      </c>
      <c r="AD47" s="66" t="str">
        <f t="shared" si="2"/>
        <v>#DIV/0!</v>
      </c>
      <c r="AE47" s="67" t="str">
        <f t="shared" si="3"/>
        <v>#DIV/0!</v>
      </c>
      <c r="AF47" s="66" t="str">
        <f t="shared" si="4"/>
        <v>#DIV/0!</v>
      </c>
      <c r="AG47" s="68">
        <f t="shared" si="5"/>
        <v>0</v>
      </c>
      <c r="AH47" s="69"/>
      <c r="AI47" s="70"/>
      <c r="AJ47" s="71" t="str">
        <f>VLOOKUP(AH47,'CODART PRODUCTO'!B:C,2,FALSE)</f>
        <v>#N/A</v>
      </c>
      <c r="AK47" s="72" t="str">
        <f>VLOOKUP(AI47,'CODART ORIGEN'!B:C,2,FALSE)</f>
        <v>#N/A</v>
      </c>
      <c r="AL47" s="72" t="str">
        <f>VLOOKUP(B47,'CODART RESPONSABLE'!B:C,2,FALSE)</f>
        <v>#N/A</v>
      </c>
      <c r="AM47" s="73" t="str">
        <f t="shared" si="6"/>
        <v/>
      </c>
      <c r="AN47" s="74" t="str">
        <f t="shared" si="7"/>
        <v>VERIFICAR CANTIDADES COTIZADAS</v>
      </c>
      <c r="AO47" s="75" t="str">
        <f t="shared" si="8"/>
        <v/>
      </c>
      <c r="AP47" s="76" t="str">
        <f t="shared" si="9"/>
        <v/>
      </c>
      <c r="AQ47" s="76"/>
      <c r="AR47" s="76"/>
      <c r="AS47" s="76"/>
    </row>
    <row r="48" ht="71.25" customHeight="1">
      <c r="A48" s="48"/>
      <c r="B48" s="49"/>
      <c r="C48" s="51"/>
      <c r="D48" s="51"/>
      <c r="E48" s="51"/>
      <c r="F48" s="51"/>
      <c r="G48" s="54"/>
      <c r="H48" s="54"/>
      <c r="I48" s="51"/>
      <c r="J48" s="77"/>
      <c r="K48" s="55"/>
      <c r="L48" s="56"/>
      <c r="M48" s="57"/>
      <c r="N48" s="57"/>
      <c r="O48" s="58"/>
      <c r="P48" s="57"/>
      <c r="Q48" s="59"/>
      <c r="R48" s="59"/>
      <c r="S48" s="59"/>
      <c r="T48" s="60"/>
      <c r="U48" s="58"/>
      <c r="V48" s="61"/>
      <c r="W48" s="62"/>
      <c r="X48" s="63"/>
      <c r="Y48" s="63"/>
      <c r="Z48" s="63"/>
      <c r="AA48" s="63"/>
      <c r="AB48" s="64"/>
      <c r="AC48" s="65">
        <f t="shared" si="1"/>
        <v>0</v>
      </c>
      <c r="AD48" s="66" t="str">
        <f t="shared" si="2"/>
        <v>#DIV/0!</v>
      </c>
      <c r="AE48" s="67" t="str">
        <f t="shared" si="3"/>
        <v>#DIV/0!</v>
      </c>
      <c r="AF48" s="66" t="str">
        <f t="shared" si="4"/>
        <v>#DIV/0!</v>
      </c>
      <c r="AG48" s="68">
        <f t="shared" si="5"/>
        <v>0</v>
      </c>
      <c r="AH48" s="69"/>
      <c r="AI48" s="70"/>
      <c r="AJ48" s="71" t="str">
        <f>VLOOKUP(AH48,'CODART PRODUCTO'!B:C,2,FALSE)</f>
        <v>#N/A</v>
      </c>
      <c r="AK48" s="72" t="str">
        <f>VLOOKUP(AI48,'CODART ORIGEN'!B:C,2,FALSE)</f>
        <v>#N/A</v>
      </c>
      <c r="AL48" s="72" t="str">
        <f>VLOOKUP(B48,'CODART RESPONSABLE'!B:C,2,FALSE)</f>
        <v>#N/A</v>
      </c>
      <c r="AM48" s="73" t="str">
        <f t="shared" si="6"/>
        <v/>
      </c>
      <c r="AN48" s="74" t="str">
        <f t="shared" si="7"/>
        <v>VERIFICAR CANTIDADES COTIZADAS</v>
      </c>
      <c r="AO48" s="75" t="str">
        <f t="shared" si="8"/>
        <v/>
      </c>
      <c r="AP48" s="76" t="str">
        <f t="shared" si="9"/>
        <v/>
      </c>
      <c r="AQ48" s="76"/>
      <c r="AR48" s="76"/>
      <c r="AS48" s="76"/>
    </row>
    <row r="49" ht="15.75" customHeight="1">
      <c r="A49" s="8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81"/>
      <c r="R49" s="3"/>
      <c r="S49" s="3"/>
      <c r="T49" s="82"/>
      <c r="U49" s="3"/>
      <c r="V49" s="83"/>
      <c r="W49" s="84"/>
      <c r="X49" s="85"/>
      <c r="Y49" s="85"/>
      <c r="Z49" s="85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7"/>
      <c r="AO49" s="88"/>
      <c r="AP49" s="86"/>
      <c r="AQ49" s="86"/>
      <c r="AR49" s="86"/>
      <c r="AS49" s="86"/>
    </row>
    <row r="50" ht="15.75" customHeight="1">
      <c r="A50" s="8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81"/>
      <c r="R50" s="3"/>
      <c r="S50" s="3"/>
      <c r="T50" s="82"/>
      <c r="U50" s="3"/>
      <c r="V50" s="83"/>
      <c r="W50" s="84"/>
      <c r="X50" s="85"/>
      <c r="Y50" s="85"/>
      <c r="Z50" s="85"/>
      <c r="AA50" s="85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7"/>
      <c r="AO50" s="88"/>
      <c r="AP50" s="86"/>
      <c r="AQ50" s="86"/>
      <c r="AR50" s="86"/>
      <c r="AS50" s="86"/>
    </row>
    <row r="51" ht="15.75" customHeight="1">
      <c r="A51" s="8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81"/>
      <c r="R51" s="3"/>
      <c r="S51" s="3"/>
      <c r="T51" s="82"/>
      <c r="U51" s="3"/>
      <c r="V51" s="83"/>
      <c r="W51" s="84"/>
      <c r="X51" s="85"/>
      <c r="Y51" s="85"/>
      <c r="Z51" s="85"/>
      <c r="AA51" s="85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7"/>
      <c r="AO51" s="88"/>
      <c r="AP51" s="86"/>
      <c r="AQ51" s="86"/>
      <c r="AR51" s="86"/>
      <c r="AS51" s="86"/>
    </row>
    <row r="52" ht="15.75" customHeight="1">
      <c r="A52" s="8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81"/>
      <c r="R52" s="3"/>
      <c r="S52" s="3"/>
      <c r="T52" s="82"/>
      <c r="U52" s="3"/>
      <c r="V52" s="83"/>
      <c r="W52" s="84"/>
      <c r="X52" s="85"/>
      <c r="Y52" s="85"/>
      <c r="Z52" s="85"/>
      <c r="AA52" s="85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7"/>
      <c r="AO52" s="88"/>
      <c r="AP52" s="86"/>
      <c r="AQ52" s="86"/>
      <c r="AR52" s="86"/>
      <c r="AS52" s="86"/>
    </row>
    <row r="53" ht="15.75" customHeight="1">
      <c r="A53" s="8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81"/>
      <c r="R53" s="3"/>
      <c r="S53" s="3"/>
      <c r="T53" s="82"/>
      <c r="U53" s="3"/>
      <c r="V53" s="83"/>
      <c r="W53" s="84"/>
      <c r="X53" s="85"/>
      <c r="Y53" s="85"/>
      <c r="Z53" s="85"/>
      <c r="AA53" s="85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7"/>
      <c r="AO53" s="88"/>
      <c r="AP53" s="86"/>
      <c r="AQ53" s="86"/>
      <c r="AR53" s="86"/>
      <c r="AS53" s="86"/>
    </row>
    <row r="54" ht="15.75" customHeight="1">
      <c r="A54" s="8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81"/>
      <c r="R54" s="3"/>
      <c r="S54" s="3"/>
      <c r="T54" s="82"/>
      <c r="U54" s="3"/>
      <c r="V54" s="83"/>
      <c r="W54" s="84"/>
      <c r="X54" s="85"/>
      <c r="Y54" s="85"/>
      <c r="Z54" s="85"/>
      <c r="AA54" s="85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7"/>
      <c r="AO54" s="88"/>
      <c r="AP54" s="86"/>
      <c r="AQ54" s="86"/>
      <c r="AR54" s="86"/>
      <c r="AS54" s="86"/>
    </row>
    <row r="55" ht="15.75" customHeight="1">
      <c r="A55" s="8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81"/>
      <c r="R55" s="3"/>
      <c r="S55" s="3"/>
      <c r="T55" s="3"/>
      <c r="U55" s="3"/>
      <c r="V55" s="83"/>
      <c r="W55" s="84"/>
      <c r="X55" s="85"/>
      <c r="Y55" s="85"/>
      <c r="Z55" s="85"/>
      <c r="AA55" s="85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7"/>
      <c r="AO55" s="88"/>
      <c r="AP55" s="86"/>
      <c r="AQ55" s="86"/>
      <c r="AR55" s="86"/>
      <c r="AS55" s="86"/>
    </row>
    <row r="56" ht="15.75" customHeight="1">
      <c r="A56" s="8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81"/>
      <c r="R56" s="3"/>
      <c r="S56" s="3"/>
      <c r="T56" s="3"/>
      <c r="U56" s="3"/>
      <c r="V56" s="83"/>
      <c r="W56" s="84"/>
      <c r="X56" s="85"/>
      <c r="Y56" s="85"/>
      <c r="Z56" s="85"/>
      <c r="AA56" s="85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7"/>
      <c r="AO56" s="88"/>
      <c r="AP56" s="86"/>
      <c r="AQ56" s="86"/>
      <c r="AR56" s="86"/>
      <c r="AS56" s="86"/>
    </row>
    <row r="57" ht="15.75" customHeight="1">
      <c r="A57" s="8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81"/>
      <c r="R57" s="3"/>
      <c r="S57" s="3"/>
      <c r="T57" s="3"/>
      <c r="U57" s="3"/>
      <c r="V57" s="83"/>
      <c r="W57" s="84"/>
      <c r="X57" s="85"/>
      <c r="Y57" s="85"/>
      <c r="Z57" s="85"/>
      <c r="AA57" s="85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7"/>
      <c r="AO57" s="88"/>
      <c r="AP57" s="86"/>
      <c r="AQ57" s="86"/>
      <c r="AR57" s="86"/>
      <c r="AS57" s="86"/>
    </row>
    <row r="58" ht="15.75" customHeight="1">
      <c r="A58" s="8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81"/>
      <c r="R58" s="3"/>
      <c r="S58" s="3"/>
      <c r="T58" s="3"/>
      <c r="U58" s="3"/>
      <c r="V58" s="83"/>
      <c r="W58" s="84"/>
      <c r="X58" s="85"/>
      <c r="Y58" s="85"/>
      <c r="Z58" s="85"/>
      <c r="AA58" s="85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7"/>
      <c r="AO58" s="88"/>
      <c r="AP58" s="86"/>
      <c r="AQ58" s="86"/>
      <c r="AR58" s="86"/>
      <c r="AS58" s="86"/>
    </row>
    <row r="59" ht="15.75" customHeight="1">
      <c r="A59" s="8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81"/>
      <c r="R59" s="3"/>
      <c r="S59" s="3"/>
      <c r="T59" s="3"/>
      <c r="U59" s="3"/>
      <c r="V59" s="83"/>
      <c r="W59" s="84"/>
      <c r="X59" s="85"/>
      <c r="Y59" s="85"/>
      <c r="Z59" s="85"/>
      <c r="AA59" s="85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7"/>
      <c r="AO59" s="88"/>
      <c r="AP59" s="86"/>
      <c r="AQ59" s="86"/>
      <c r="AR59" s="86"/>
      <c r="AS59" s="86"/>
    </row>
    <row r="60" ht="15.75" customHeight="1">
      <c r="A60" s="8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81"/>
      <c r="R60" s="3"/>
      <c r="S60" s="3"/>
      <c r="T60" s="3"/>
      <c r="U60" s="3"/>
      <c r="V60" s="83"/>
      <c r="W60" s="84"/>
      <c r="X60" s="85"/>
      <c r="Y60" s="85"/>
      <c r="Z60" s="85"/>
      <c r="AA60" s="85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7"/>
      <c r="AO60" s="88"/>
      <c r="AP60" s="86"/>
      <c r="AQ60" s="86"/>
      <c r="AR60" s="86"/>
      <c r="AS60" s="86"/>
    </row>
    <row r="61" ht="15.75" customHeight="1">
      <c r="A61" s="8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81"/>
      <c r="R61" s="3"/>
      <c r="S61" s="3"/>
      <c r="T61" s="3"/>
      <c r="U61" s="3"/>
      <c r="V61" s="83"/>
      <c r="W61" s="84"/>
      <c r="X61" s="85"/>
      <c r="Y61" s="85"/>
      <c r="Z61" s="85"/>
      <c r="AA61" s="85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7"/>
      <c r="AO61" s="88"/>
      <c r="AP61" s="86"/>
      <c r="AQ61" s="86"/>
      <c r="AR61" s="86"/>
      <c r="AS61" s="86"/>
    </row>
    <row r="62" ht="15.75" customHeight="1">
      <c r="A62" s="8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81"/>
      <c r="R62" s="3"/>
      <c r="S62" s="3"/>
      <c r="T62" s="3"/>
      <c r="U62" s="3"/>
      <c r="V62" s="83"/>
      <c r="W62" s="84"/>
      <c r="X62" s="85"/>
      <c r="Y62" s="85"/>
      <c r="Z62" s="85"/>
      <c r="AA62" s="85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7"/>
      <c r="AO62" s="88"/>
      <c r="AP62" s="86"/>
      <c r="AQ62" s="86"/>
      <c r="AR62" s="86"/>
      <c r="AS62" s="86"/>
    </row>
    <row r="63" ht="15.75" customHeight="1">
      <c r="A63" s="8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81"/>
      <c r="R63" s="3"/>
      <c r="S63" s="3"/>
      <c r="T63" s="3"/>
      <c r="U63" s="3"/>
      <c r="V63" s="83"/>
      <c r="W63" s="84"/>
      <c r="X63" s="85"/>
      <c r="Y63" s="85"/>
      <c r="Z63" s="85"/>
      <c r="AA63" s="85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7"/>
      <c r="AO63" s="88"/>
      <c r="AP63" s="86"/>
      <c r="AQ63" s="86"/>
      <c r="AR63" s="86"/>
      <c r="AS63" s="86"/>
    </row>
    <row r="64" ht="15.75" customHeight="1">
      <c r="A64" s="8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81"/>
      <c r="R64" s="3"/>
      <c r="S64" s="3"/>
      <c r="T64" s="3"/>
      <c r="U64" s="3"/>
      <c r="V64" s="83"/>
      <c r="W64" s="84"/>
      <c r="X64" s="85"/>
      <c r="Y64" s="85"/>
      <c r="Z64" s="85"/>
      <c r="AA64" s="85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7"/>
      <c r="AO64" s="88"/>
      <c r="AP64" s="86"/>
      <c r="AQ64" s="86"/>
      <c r="AR64" s="86"/>
      <c r="AS64" s="86"/>
    </row>
    <row r="65" ht="15.75" customHeight="1">
      <c r="A65" s="8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81"/>
      <c r="R65" s="3"/>
      <c r="S65" s="3"/>
      <c r="T65" s="3"/>
      <c r="U65" s="3"/>
      <c r="V65" s="83"/>
      <c r="W65" s="84"/>
      <c r="X65" s="85"/>
      <c r="Y65" s="85"/>
      <c r="Z65" s="85"/>
      <c r="AA65" s="85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7"/>
      <c r="AO65" s="88"/>
      <c r="AP65" s="86"/>
      <c r="AQ65" s="86"/>
      <c r="AR65" s="86"/>
      <c r="AS65" s="86"/>
    </row>
    <row r="66" ht="15.75" customHeight="1">
      <c r="A66" s="8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81"/>
      <c r="R66" s="3"/>
      <c r="S66" s="3"/>
      <c r="T66" s="3"/>
      <c r="U66" s="3"/>
      <c r="V66" s="83"/>
      <c r="W66" s="84"/>
      <c r="X66" s="85"/>
      <c r="Y66" s="85"/>
      <c r="Z66" s="85"/>
      <c r="AA66" s="85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7"/>
      <c r="AO66" s="88"/>
      <c r="AP66" s="86"/>
      <c r="AQ66" s="86"/>
      <c r="AR66" s="86"/>
      <c r="AS66" s="86"/>
    </row>
    <row r="67" ht="15.75" customHeight="1">
      <c r="A67" s="8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81"/>
      <c r="R67" s="3"/>
      <c r="S67" s="3"/>
      <c r="T67" s="3"/>
      <c r="U67" s="3"/>
      <c r="V67" s="83"/>
      <c r="W67" s="84"/>
      <c r="X67" s="85"/>
      <c r="Y67" s="85"/>
      <c r="Z67" s="85"/>
      <c r="AA67" s="85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7"/>
      <c r="AO67" s="88"/>
      <c r="AP67" s="86"/>
      <c r="AQ67" s="86"/>
      <c r="AR67" s="86"/>
      <c r="AS67" s="86"/>
    </row>
    <row r="68" ht="15.75" customHeight="1">
      <c r="A68" s="8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81"/>
      <c r="R68" s="3"/>
      <c r="S68" s="3"/>
      <c r="T68" s="3"/>
      <c r="U68" s="3"/>
      <c r="V68" s="83"/>
      <c r="W68" s="84"/>
      <c r="X68" s="85"/>
      <c r="Y68" s="85"/>
      <c r="Z68" s="85"/>
      <c r="AA68" s="85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7"/>
      <c r="AO68" s="88"/>
      <c r="AP68" s="86"/>
      <c r="AQ68" s="86"/>
      <c r="AR68" s="86"/>
      <c r="AS68" s="86"/>
    </row>
    <row r="69" ht="15.75" customHeight="1">
      <c r="A69" s="8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81"/>
      <c r="R69" s="3"/>
      <c r="S69" s="3"/>
      <c r="T69" s="3"/>
      <c r="U69" s="3"/>
      <c r="V69" s="83"/>
      <c r="W69" s="84"/>
      <c r="X69" s="85"/>
      <c r="Y69" s="85"/>
      <c r="Z69" s="85"/>
      <c r="AA69" s="85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7"/>
      <c r="AO69" s="88"/>
      <c r="AP69" s="86"/>
      <c r="AQ69" s="86"/>
      <c r="AR69" s="86"/>
      <c r="AS69" s="86"/>
    </row>
    <row r="70" ht="15.75" customHeight="1">
      <c r="A70" s="8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81"/>
      <c r="R70" s="3"/>
      <c r="S70" s="3"/>
      <c r="T70" s="3"/>
      <c r="U70" s="3"/>
      <c r="V70" s="83"/>
      <c r="W70" s="84"/>
      <c r="X70" s="85"/>
      <c r="Y70" s="85"/>
      <c r="Z70" s="85"/>
      <c r="AA70" s="85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7"/>
      <c r="AO70" s="88"/>
      <c r="AP70" s="86"/>
      <c r="AQ70" s="86"/>
      <c r="AR70" s="86"/>
      <c r="AS70" s="86"/>
    </row>
    <row r="71" ht="15.75" customHeight="1">
      <c r="A71" s="8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81"/>
      <c r="R71" s="3"/>
      <c r="S71" s="3"/>
      <c r="T71" s="3"/>
      <c r="U71" s="3"/>
      <c r="V71" s="83"/>
      <c r="W71" s="84"/>
      <c r="X71" s="85"/>
      <c r="Y71" s="85"/>
      <c r="Z71" s="85"/>
      <c r="AA71" s="85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7"/>
      <c r="AO71" s="88"/>
      <c r="AP71" s="86"/>
      <c r="AQ71" s="86"/>
      <c r="AR71" s="86"/>
      <c r="AS71" s="86"/>
    </row>
    <row r="72" ht="15.75" customHeight="1">
      <c r="A72" s="8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81"/>
      <c r="R72" s="3"/>
      <c r="S72" s="3"/>
      <c r="T72" s="3"/>
      <c r="U72" s="3"/>
      <c r="V72" s="83"/>
      <c r="W72" s="84"/>
      <c r="X72" s="85"/>
      <c r="Y72" s="85"/>
      <c r="Z72" s="85"/>
      <c r="AA72" s="85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7"/>
      <c r="AO72" s="88"/>
      <c r="AP72" s="86"/>
      <c r="AQ72" s="86"/>
      <c r="AR72" s="86"/>
      <c r="AS72" s="86"/>
    </row>
    <row r="73" ht="15.75" customHeight="1">
      <c r="A73" s="8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81"/>
      <c r="R73" s="3"/>
      <c r="S73" s="3"/>
      <c r="T73" s="3"/>
      <c r="U73" s="3"/>
      <c r="V73" s="83"/>
      <c r="W73" s="84"/>
      <c r="X73" s="85"/>
      <c r="Y73" s="85"/>
      <c r="Z73" s="85"/>
      <c r="AA73" s="85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7"/>
      <c r="AO73" s="88"/>
      <c r="AP73" s="86"/>
      <c r="AQ73" s="86"/>
      <c r="AR73" s="86"/>
      <c r="AS73" s="86"/>
    </row>
    <row r="74" ht="15.75" customHeight="1">
      <c r="A74" s="8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81"/>
      <c r="R74" s="3"/>
      <c r="S74" s="3"/>
      <c r="T74" s="3"/>
      <c r="U74" s="3"/>
      <c r="V74" s="83"/>
      <c r="W74" s="84"/>
      <c r="X74" s="85"/>
      <c r="Y74" s="85"/>
      <c r="Z74" s="85"/>
      <c r="AA74" s="85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7"/>
      <c r="AO74" s="88"/>
      <c r="AP74" s="86"/>
      <c r="AQ74" s="86"/>
      <c r="AR74" s="86"/>
      <c r="AS74" s="86"/>
    </row>
    <row r="75" ht="15.75" customHeight="1">
      <c r="A75" s="8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81"/>
      <c r="R75" s="3"/>
      <c r="S75" s="3"/>
      <c r="T75" s="3"/>
      <c r="U75" s="3"/>
      <c r="V75" s="83"/>
      <c r="W75" s="84"/>
      <c r="X75" s="85"/>
      <c r="Y75" s="85"/>
      <c r="Z75" s="85"/>
      <c r="AA75" s="85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7"/>
      <c r="AO75" s="88"/>
      <c r="AP75" s="86"/>
      <c r="AQ75" s="86"/>
      <c r="AR75" s="86"/>
      <c r="AS75" s="86"/>
    </row>
    <row r="76" ht="15.75" customHeight="1">
      <c r="A76" s="8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81"/>
      <c r="R76" s="3"/>
      <c r="S76" s="3"/>
      <c r="T76" s="3"/>
      <c r="U76" s="3"/>
      <c r="V76" s="83"/>
      <c r="W76" s="84"/>
      <c r="X76" s="85"/>
      <c r="Y76" s="85"/>
      <c r="Z76" s="85"/>
      <c r="AA76" s="85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7"/>
      <c r="AO76" s="88"/>
      <c r="AP76" s="86"/>
      <c r="AQ76" s="86"/>
      <c r="AR76" s="86"/>
      <c r="AS76" s="86"/>
    </row>
    <row r="77" ht="15.75" customHeight="1">
      <c r="A77" s="8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81"/>
      <c r="R77" s="3"/>
      <c r="S77" s="3"/>
      <c r="T77" s="3"/>
      <c r="U77" s="3"/>
      <c r="V77" s="83"/>
      <c r="W77" s="84"/>
      <c r="X77" s="85"/>
      <c r="Y77" s="85"/>
      <c r="Z77" s="85"/>
      <c r="AA77" s="85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7"/>
      <c r="AO77" s="88"/>
      <c r="AP77" s="86"/>
      <c r="AQ77" s="86"/>
      <c r="AR77" s="86"/>
      <c r="AS77" s="86"/>
    </row>
    <row r="78" ht="15.75" customHeight="1">
      <c r="A78" s="8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81"/>
      <c r="R78" s="3"/>
      <c r="S78" s="3"/>
      <c r="T78" s="3"/>
      <c r="U78" s="3"/>
      <c r="V78" s="83"/>
      <c r="W78" s="84"/>
      <c r="X78" s="85"/>
      <c r="Y78" s="85"/>
      <c r="Z78" s="85"/>
      <c r="AA78" s="85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7"/>
      <c r="AO78" s="88"/>
      <c r="AP78" s="86"/>
      <c r="AQ78" s="86"/>
      <c r="AR78" s="86"/>
      <c r="AS78" s="86"/>
    </row>
    <row r="79" ht="15.75" customHeight="1">
      <c r="A79" s="8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81"/>
      <c r="R79" s="3"/>
      <c r="S79" s="3"/>
      <c r="T79" s="3"/>
      <c r="U79" s="3"/>
      <c r="V79" s="83"/>
      <c r="W79" s="84"/>
      <c r="X79" s="85"/>
      <c r="Y79" s="85"/>
      <c r="Z79" s="85"/>
      <c r="AA79" s="85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7"/>
      <c r="AO79" s="88"/>
      <c r="AP79" s="86"/>
      <c r="AQ79" s="86"/>
      <c r="AR79" s="86"/>
      <c r="AS79" s="86"/>
    </row>
    <row r="80" ht="15.75" customHeight="1">
      <c r="A80" s="8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81"/>
      <c r="R80" s="3"/>
      <c r="S80" s="3"/>
      <c r="T80" s="3"/>
      <c r="U80" s="3"/>
      <c r="V80" s="83"/>
      <c r="W80" s="84"/>
      <c r="X80" s="85"/>
      <c r="Y80" s="85"/>
      <c r="Z80" s="85"/>
      <c r="AA80" s="85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7"/>
      <c r="AO80" s="88"/>
      <c r="AP80" s="86"/>
      <c r="AQ80" s="86"/>
      <c r="AR80" s="86"/>
      <c r="AS80" s="86"/>
    </row>
    <row r="81" ht="15.75" customHeight="1">
      <c r="A81" s="8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1"/>
      <c r="R81" s="3"/>
      <c r="S81" s="3"/>
      <c r="T81" s="3"/>
      <c r="U81" s="3"/>
      <c r="V81" s="83"/>
      <c r="W81" s="84"/>
      <c r="X81" s="85"/>
      <c r="Y81" s="85"/>
      <c r="Z81" s="85"/>
      <c r="AA81" s="85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7"/>
      <c r="AO81" s="88"/>
      <c r="AP81" s="86"/>
      <c r="AQ81" s="86"/>
      <c r="AR81" s="86"/>
      <c r="AS81" s="86"/>
    </row>
    <row r="82" ht="15.75" customHeight="1">
      <c r="A82" s="8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81"/>
      <c r="R82" s="3"/>
      <c r="S82" s="3"/>
      <c r="T82" s="3"/>
      <c r="U82" s="3"/>
      <c r="V82" s="83"/>
      <c r="W82" s="84"/>
      <c r="X82" s="85"/>
      <c r="Y82" s="85"/>
      <c r="Z82" s="85"/>
      <c r="AA82" s="85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7"/>
      <c r="AO82" s="88"/>
      <c r="AP82" s="86"/>
      <c r="AQ82" s="86"/>
      <c r="AR82" s="86"/>
      <c r="AS82" s="86"/>
    </row>
    <row r="83" ht="15.75" customHeight="1">
      <c r="A83" s="8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81"/>
      <c r="R83" s="3"/>
      <c r="S83" s="3"/>
      <c r="T83" s="3"/>
      <c r="U83" s="3"/>
      <c r="V83" s="83"/>
      <c r="W83" s="84"/>
      <c r="X83" s="85"/>
      <c r="Y83" s="85"/>
      <c r="Z83" s="85"/>
      <c r="AA83" s="85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7"/>
      <c r="AO83" s="88"/>
      <c r="AP83" s="86"/>
      <c r="AQ83" s="86"/>
      <c r="AR83" s="86"/>
      <c r="AS83" s="86"/>
    </row>
    <row r="84" ht="15.75" customHeight="1">
      <c r="A84" s="8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81"/>
      <c r="R84" s="3"/>
      <c r="S84" s="3"/>
      <c r="T84" s="3"/>
      <c r="U84" s="3"/>
      <c r="V84" s="83"/>
      <c r="W84" s="84"/>
      <c r="X84" s="85"/>
      <c r="Y84" s="85"/>
      <c r="Z84" s="85"/>
      <c r="AA84" s="85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7"/>
      <c r="AO84" s="88"/>
      <c r="AP84" s="86"/>
      <c r="AQ84" s="86"/>
      <c r="AR84" s="86"/>
      <c r="AS84" s="86"/>
    </row>
    <row r="85" ht="15.75" customHeight="1">
      <c r="A85" s="8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81"/>
      <c r="R85" s="3"/>
      <c r="S85" s="3"/>
      <c r="T85" s="3"/>
      <c r="U85" s="3"/>
      <c r="V85" s="83"/>
      <c r="W85" s="84"/>
      <c r="X85" s="85"/>
      <c r="Y85" s="85"/>
      <c r="Z85" s="85"/>
      <c r="AA85" s="85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7"/>
      <c r="AO85" s="88"/>
      <c r="AP85" s="86"/>
      <c r="AQ85" s="86"/>
      <c r="AR85" s="86"/>
      <c r="AS85" s="86"/>
    </row>
    <row r="86" ht="15.75" customHeight="1">
      <c r="A86" s="8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81"/>
      <c r="R86" s="3"/>
      <c r="S86" s="3"/>
      <c r="T86" s="3"/>
      <c r="U86" s="3"/>
      <c r="V86" s="83"/>
      <c r="W86" s="84"/>
      <c r="X86" s="85"/>
      <c r="Y86" s="85"/>
      <c r="Z86" s="85"/>
      <c r="AA86" s="85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7"/>
      <c r="AO86" s="88"/>
      <c r="AP86" s="86"/>
      <c r="AQ86" s="86"/>
      <c r="AR86" s="86"/>
      <c r="AS86" s="86"/>
    </row>
    <row r="87" ht="15.75" customHeight="1">
      <c r="A87" s="8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81"/>
      <c r="R87" s="3"/>
      <c r="S87" s="3"/>
      <c r="T87" s="3"/>
      <c r="U87" s="3"/>
      <c r="V87" s="83"/>
      <c r="W87" s="84"/>
      <c r="X87" s="85"/>
      <c r="Y87" s="85"/>
      <c r="Z87" s="85"/>
      <c r="AA87" s="85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7"/>
      <c r="AO87" s="88"/>
      <c r="AP87" s="86"/>
      <c r="AQ87" s="86"/>
      <c r="AR87" s="86"/>
      <c r="AS87" s="86"/>
    </row>
    <row r="88" ht="15.75" customHeight="1">
      <c r="A88" s="8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81"/>
      <c r="R88" s="3"/>
      <c r="S88" s="3"/>
      <c r="T88" s="3"/>
      <c r="U88" s="3"/>
      <c r="V88" s="83"/>
      <c r="W88" s="84"/>
      <c r="X88" s="85"/>
      <c r="Y88" s="85"/>
      <c r="Z88" s="85"/>
      <c r="AA88" s="85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7"/>
      <c r="AO88" s="88"/>
      <c r="AP88" s="86"/>
      <c r="AQ88" s="86"/>
      <c r="AR88" s="86"/>
      <c r="AS88" s="86"/>
    </row>
    <row r="89" ht="15.75" customHeight="1">
      <c r="A89" s="8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81"/>
      <c r="R89" s="3"/>
      <c r="S89" s="3"/>
      <c r="T89" s="3"/>
      <c r="U89" s="3"/>
      <c r="V89" s="83"/>
      <c r="W89" s="84"/>
      <c r="X89" s="85"/>
      <c r="Y89" s="85"/>
      <c r="Z89" s="85"/>
      <c r="AA89" s="85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7"/>
      <c r="AO89" s="88"/>
      <c r="AP89" s="86"/>
      <c r="AQ89" s="86"/>
      <c r="AR89" s="86"/>
      <c r="AS89" s="86"/>
    </row>
    <row r="90" ht="15.75" customHeight="1">
      <c r="A90" s="8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81"/>
      <c r="R90" s="3"/>
      <c r="S90" s="3"/>
      <c r="T90" s="3"/>
      <c r="U90" s="3"/>
      <c r="V90" s="83"/>
      <c r="W90" s="84"/>
      <c r="X90" s="85"/>
      <c r="Y90" s="85"/>
      <c r="Z90" s="85"/>
      <c r="AA90" s="85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7"/>
      <c r="AO90" s="88"/>
      <c r="AP90" s="86"/>
      <c r="AQ90" s="86"/>
      <c r="AR90" s="86"/>
      <c r="AS90" s="86"/>
    </row>
    <row r="91" ht="15.75" customHeight="1">
      <c r="A91" s="8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81"/>
      <c r="R91" s="3"/>
      <c r="S91" s="3"/>
      <c r="T91" s="3"/>
      <c r="U91" s="3"/>
      <c r="V91" s="83"/>
      <c r="W91" s="84"/>
      <c r="X91" s="85"/>
      <c r="Y91" s="85"/>
      <c r="Z91" s="85"/>
      <c r="AA91" s="85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7"/>
      <c r="AO91" s="88"/>
      <c r="AP91" s="86"/>
      <c r="AQ91" s="86"/>
      <c r="AR91" s="86"/>
      <c r="AS91" s="86"/>
    </row>
    <row r="92" ht="15.75" customHeight="1">
      <c r="A92" s="8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81"/>
      <c r="R92" s="3"/>
      <c r="S92" s="3"/>
      <c r="T92" s="3"/>
      <c r="U92" s="3"/>
      <c r="V92" s="83"/>
      <c r="W92" s="84"/>
      <c r="X92" s="85"/>
      <c r="Y92" s="85"/>
      <c r="Z92" s="85"/>
      <c r="AA92" s="85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7"/>
      <c r="AO92" s="88"/>
      <c r="AP92" s="86"/>
      <c r="AQ92" s="86"/>
      <c r="AR92" s="86"/>
      <c r="AS92" s="86"/>
    </row>
    <row r="93" ht="15.75" customHeight="1">
      <c r="A93" s="8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81"/>
      <c r="R93" s="3"/>
      <c r="S93" s="3"/>
      <c r="T93" s="3"/>
      <c r="U93" s="3"/>
      <c r="V93" s="83"/>
      <c r="W93" s="84"/>
      <c r="X93" s="85"/>
      <c r="Y93" s="85"/>
      <c r="Z93" s="85"/>
      <c r="AA93" s="85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7"/>
      <c r="AO93" s="88"/>
      <c r="AP93" s="86"/>
      <c r="AQ93" s="86"/>
      <c r="AR93" s="86"/>
      <c r="AS93" s="86"/>
    </row>
    <row r="94" ht="15.75" customHeight="1">
      <c r="A94" s="8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81"/>
      <c r="R94" s="3"/>
      <c r="S94" s="3"/>
      <c r="T94" s="3"/>
      <c r="U94" s="3"/>
      <c r="V94" s="83"/>
      <c r="W94" s="84"/>
      <c r="X94" s="85"/>
      <c r="Y94" s="85"/>
      <c r="Z94" s="85"/>
      <c r="AA94" s="85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7"/>
      <c r="AO94" s="88"/>
      <c r="AP94" s="86"/>
      <c r="AQ94" s="86"/>
      <c r="AR94" s="86"/>
      <c r="AS94" s="86"/>
    </row>
    <row r="95" ht="15.75" customHeight="1">
      <c r="A95" s="8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81"/>
      <c r="R95" s="3"/>
      <c r="S95" s="3"/>
      <c r="T95" s="3"/>
      <c r="U95" s="3"/>
      <c r="V95" s="83"/>
      <c r="W95" s="84"/>
      <c r="X95" s="85"/>
      <c r="Y95" s="85"/>
      <c r="Z95" s="85"/>
      <c r="AA95" s="85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7"/>
      <c r="AO95" s="88"/>
      <c r="AP95" s="86"/>
      <c r="AQ95" s="86"/>
      <c r="AR95" s="86"/>
      <c r="AS95" s="86"/>
    </row>
    <row r="96" ht="15.75" customHeight="1">
      <c r="A96" s="8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81"/>
      <c r="R96" s="3"/>
      <c r="S96" s="3"/>
      <c r="T96" s="3"/>
      <c r="U96" s="3"/>
      <c r="V96" s="83"/>
      <c r="W96" s="84"/>
      <c r="X96" s="85"/>
      <c r="Y96" s="85"/>
      <c r="Z96" s="85"/>
      <c r="AA96" s="85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7"/>
      <c r="AO96" s="88"/>
      <c r="AP96" s="86"/>
      <c r="AQ96" s="86"/>
      <c r="AR96" s="86"/>
      <c r="AS96" s="86"/>
    </row>
    <row r="97" ht="15.75" customHeight="1">
      <c r="A97" s="8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81"/>
      <c r="R97" s="3"/>
      <c r="S97" s="3"/>
      <c r="T97" s="3"/>
      <c r="U97" s="3"/>
      <c r="V97" s="83"/>
      <c r="W97" s="84"/>
      <c r="X97" s="85"/>
      <c r="Y97" s="85"/>
      <c r="Z97" s="85"/>
      <c r="AA97" s="85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7"/>
      <c r="AO97" s="88"/>
      <c r="AP97" s="86"/>
      <c r="AQ97" s="86"/>
      <c r="AR97" s="86"/>
      <c r="AS97" s="86"/>
    </row>
    <row r="98" ht="15.75" customHeight="1">
      <c r="A98" s="8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81"/>
      <c r="R98" s="3"/>
      <c r="S98" s="3"/>
      <c r="T98" s="3"/>
      <c r="U98" s="3"/>
      <c r="V98" s="83"/>
      <c r="W98" s="84"/>
      <c r="X98" s="85"/>
      <c r="Y98" s="85"/>
      <c r="Z98" s="85"/>
      <c r="AA98" s="85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7"/>
      <c r="AO98" s="88"/>
      <c r="AP98" s="86"/>
      <c r="AQ98" s="86"/>
      <c r="AR98" s="86"/>
      <c r="AS98" s="86"/>
    </row>
    <row r="99" ht="15.75" customHeight="1">
      <c r="A99" s="8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81"/>
      <c r="R99" s="3"/>
      <c r="S99" s="3"/>
      <c r="T99" s="3"/>
      <c r="U99" s="3"/>
      <c r="V99" s="83"/>
      <c r="W99" s="84"/>
      <c r="X99" s="85"/>
      <c r="Y99" s="85"/>
      <c r="Z99" s="85"/>
      <c r="AA99" s="85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7"/>
      <c r="AO99" s="88"/>
      <c r="AP99" s="86"/>
      <c r="AQ99" s="86"/>
      <c r="AR99" s="86"/>
      <c r="AS99" s="86"/>
    </row>
    <row r="100" ht="15.75" customHeight="1">
      <c r="A100" s="8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81"/>
      <c r="R100" s="3"/>
      <c r="S100" s="3"/>
      <c r="T100" s="3"/>
      <c r="U100" s="3"/>
      <c r="V100" s="83"/>
      <c r="W100" s="84"/>
      <c r="X100" s="85"/>
      <c r="Y100" s="85"/>
      <c r="Z100" s="85"/>
      <c r="AA100" s="85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7"/>
      <c r="AO100" s="88"/>
      <c r="AP100" s="86"/>
      <c r="AQ100" s="86"/>
      <c r="AR100" s="86"/>
      <c r="AS100" s="86"/>
    </row>
    <row r="101" ht="15.75" customHeight="1">
      <c r="A101" s="8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81"/>
      <c r="R101" s="3"/>
      <c r="S101" s="3"/>
      <c r="T101" s="3"/>
      <c r="U101" s="3"/>
      <c r="V101" s="83"/>
      <c r="W101" s="84"/>
      <c r="X101" s="85"/>
      <c r="Y101" s="85"/>
      <c r="Z101" s="85"/>
      <c r="AA101" s="85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7"/>
      <c r="AO101" s="88"/>
      <c r="AP101" s="86"/>
      <c r="AQ101" s="86"/>
      <c r="AR101" s="86"/>
      <c r="AS101" s="86"/>
    </row>
    <row r="102" ht="15.75" customHeight="1">
      <c r="A102" s="8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81"/>
      <c r="R102" s="3"/>
      <c r="S102" s="3"/>
      <c r="T102" s="3"/>
      <c r="U102" s="3"/>
      <c r="V102" s="83"/>
      <c r="W102" s="84"/>
      <c r="X102" s="85"/>
      <c r="Y102" s="85"/>
      <c r="Z102" s="85"/>
      <c r="AA102" s="85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7"/>
      <c r="AO102" s="88"/>
      <c r="AP102" s="86"/>
      <c r="AQ102" s="86"/>
      <c r="AR102" s="86"/>
      <c r="AS102" s="86"/>
    </row>
    <row r="103" ht="15.75" customHeight="1">
      <c r="A103" s="8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81"/>
      <c r="R103" s="3"/>
      <c r="S103" s="3"/>
      <c r="T103" s="3"/>
      <c r="U103" s="3"/>
      <c r="V103" s="83"/>
      <c r="W103" s="84"/>
      <c r="X103" s="85"/>
      <c r="Y103" s="85"/>
      <c r="Z103" s="85"/>
      <c r="AA103" s="85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7"/>
      <c r="AO103" s="88"/>
      <c r="AP103" s="86"/>
      <c r="AQ103" s="86"/>
      <c r="AR103" s="86"/>
      <c r="AS103" s="86"/>
    </row>
    <row r="104" ht="15.75" customHeight="1">
      <c r="A104" s="8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81"/>
      <c r="R104" s="3"/>
      <c r="S104" s="3"/>
      <c r="T104" s="3"/>
      <c r="U104" s="3"/>
      <c r="V104" s="83"/>
      <c r="W104" s="84"/>
      <c r="X104" s="85"/>
      <c r="Y104" s="85"/>
      <c r="Z104" s="85"/>
      <c r="AA104" s="85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7"/>
      <c r="AO104" s="88"/>
      <c r="AP104" s="86"/>
      <c r="AQ104" s="86"/>
      <c r="AR104" s="86"/>
      <c r="AS104" s="86"/>
    </row>
    <row r="105" ht="15.75" customHeight="1">
      <c r="A105" s="8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81"/>
      <c r="R105" s="3"/>
      <c r="S105" s="3"/>
      <c r="T105" s="3"/>
      <c r="U105" s="3"/>
      <c r="V105" s="83"/>
      <c r="W105" s="84"/>
      <c r="X105" s="85"/>
      <c r="Y105" s="85"/>
      <c r="Z105" s="85"/>
      <c r="AA105" s="85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7"/>
      <c r="AO105" s="88"/>
      <c r="AP105" s="86"/>
      <c r="AQ105" s="86"/>
      <c r="AR105" s="86"/>
      <c r="AS105" s="86"/>
    </row>
    <row r="106" ht="15.75" customHeight="1">
      <c r="A106" s="8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81"/>
      <c r="R106" s="3"/>
      <c r="S106" s="3"/>
      <c r="T106" s="3"/>
      <c r="U106" s="3"/>
      <c r="V106" s="83"/>
      <c r="W106" s="84"/>
      <c r="X106" s="85"/>
      <c r="Y106" s="85"/>
      <c r="Z106" s="85"/>
      <c r="AA106" s="85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7"/>
      <c r="AO106" s="88"/>
      <c r="AP106" s="86"/>
      <c r="AQ106" s="86"/>
      <c r="AR106" s="86"/>
      <c r="AS106" s="86"/>
    </row>
    <row r="107" ht="15.75" customHeight="1">
      <c r="A107" s="8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81"/>
      <c r="R107" s="3"/>
      <c r="S107" s="3"/>
      <c r="T107" s="3"/>
      <c r="U107" s="3"/>
      <c r="V107" s="83"/>
      <c r="W107" s="84"/>
      <c r="X107" s="85"/>
      <c r="Y107" s="85"/>
      <c r="Z107" s="85"/>
      <c r="AA107" s="85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7"/>
      <c r="AO107" s="88"/>
      <c r="AP107" s="86"/>
      <c r="AQ107" s="86"/>
      <c r="AR107" s="86"/>
      <c r="AS107" s="86"/>
    </row>
    <row r="108" ht="15.75" customHeight="1">
      <c r="A108" s="8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81"/>
      <c r="R108" s="3"/>
      <c r="S108" s="3"/>
      <c r="T108" s="3"/>
      <c r="U108" s="3"/>
      <c r="V108" s="83"/>
      <c r="W108" s="84"/>
      <c r="X108" s="85"/>
      <c r="Y108" s="85"/>
      <c r="Z108" s="85"/>
      <c r="AA108" s="85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7"/>
      <c r="AO108" s="88"/>
      <c r="AP108" s="86"/>
      <c r="AQ108" s="86"/>
      <c r="AR108" s="86"/>
      <c r="AS108" s="86"/>
    </row>
    <row r="109" ht="15.75" customHeight="1">
      <c r="A109" s="8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81"/>
      <c r="R109" s="3"/>
      <c r="S109" s="3"/>
      <c r="T109" s="3"/>
      <c r="U109" s="3"/>
      <c r="V109" s="83"/>
      <c r="W109" s="84"/>
      <c r="X109" s="85"/>
      <c r="Y109" s="85"/>
      <c r="Z109" s="85"/>
      <c r="AA109" s="85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7"/>
      <c r="AO109" s="88"/>
      <c r="AP109" s="86"/>
      <c r="AQ109" s="86"/>
      <c r="AR109" s="86"/>
      <c r="AS109" s="86"/>
    </row>
    <row r="110" ht="15.75" customHeight="1">
      <c r="A110" s="8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81"/>
      <c r="R110" s="3"/>
      <c r="S110" s="3"/>
      <c r="T110" s="3"/>
      <c r="U110" s="3"/>
      <c r="V110" s="83"/>
      <c r="W110" s="84"/>
      <c r="X110" s="85"/>
      <c r="Y110" s="85"/>
      <c r="Z110" s="85"/>
      <c r="AA110" s="85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7"/>
      <c r="AO110" s="88"/>
      <c r="AP110" s="86"/>
      <c r="AQ110" s="86"/>
      <c r="AR110" s="86"/>
      <c r="AS110" s="86"/>
    </row>
    <row r="111" ht="15.75" customHeight="1">
      <c r="A111" s="8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81"/>
      <c r="R111" s="3"/>
      <c r="S111" s="3"/>
      <c r="T111" s="3"/>
      <c r="U111" s="3"/>
      <c r="V111" s="83"/>
      <c r="W111" s="84"/>
      <c r="X111" s="85"/>
      <c r="Y111" s="85"/>
      <c r="Z111" s="85"/>
      <c r="AA111" s="85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7"/>
      <c r="AO111" s="88"/>
      <c r="AP111" s="86"/>
      <c r="AQ111" s="86"/>
      <c r="AR111" s="86"/>
      <c r="AS111" s="86"/>
    </row>
    <row r="112" ht="15.75" customHeight="1">
      <c r="A112" s="8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81"/>
      <c r="R112" s="3"/>
      <c r="S112" s="3"/>
      <c r="T112" s="3"/>
      <c r="U112" s="3"/>
      <c r="V112" s="83"/>
      <c r="W112" s="84"/>
      <c r="X112" s="85"/>
      <c r="Y112" s="85"/>
      <c r="Z112" s="85"/>
      <c r="AA112" s="85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7"/>
      <c r="AO112" s="88"/>
      <c r="AP112" s="86"/>
      <c r="AQ112" s="86"/>
      <c r="AR112" s="86"/>
      <c r="AS112" s="86"/>
    </row>
    <row r="113" ht="15.75" customHeight="1">
      <c r="A113" s="8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81"/>
      <c r="R113" s="3"/>
      <c r="S113" s="3"/>
      <c r="T113" s="3"/>
      <c r="U113" s="3"/>
      <c r="V113" s="83"/>
      <c r="W113" s="84"/>
      <c r="X113" s="85"/>
      <c r="Y113" s="85"/>
      <c r="Z113" s="85"/>
      <c r="AA113" s="85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7"/>
      <c r="AO113" s="88"/>
      <c r="AP113" s="86"/>
      <c r="AQ113" s="86"/>
      <c r="AR113" s="86"/>
      <c r="AS113" s="86"/>
    </row>
    <row r="114" ht="15.75" customHeight="1">
      <c r="A114" s="8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81"/>
      <c r="R114" s="3"/>
      <c r="S114" s="3"/>
      <c r="T114" s="3"/>
      <c r="U114" s="3"/>
      <c r="V114" s="83"/>
      <c r="W114" s="84"/>
      <c r="X114" s="85"/>
      <c r="Y114" s="85"/>
      <c r="Z114" s="85"/>
      <c r="AA114" s="85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7"/>
      <c r="AO114" s="88"/>
      <c r="AP114" s="86"/>
      <c r="AQ114" s="86"/>
      <c r="AR114" s="86"/>
      <c r="AS114" s="86"/>
    </row>
    <row r="115" ht="15.75" customHeight="1">
      <c r="A115" s="8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81"/>
      <c r="R115" s="3"/>
      <c r="S115" s="3"/>
      <c r="T115" s="3"/>
      <c r="U115" s="3"/>
      <c r="V115" s="83"/>
      <c r="W115" s="84"/>
      <c r="X115" s="85"/>
      <c r="Y115" s="85"/>
      <c r="Z115" s="85"/>
      <c r="AA115" s="85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7"/>
      <c r="AO115" s="88"/>
      <c r="AP115" s="86"/>
      <c r="AQ115" s="86"/>
      <c r="AR115" s="86"/>
      <c r="AS115" s="86"/>
    </row>
    <row r="116" ht="15.75" customHeight="1">
      <c r="A116" s="8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81"/>
      <c r="R116" s="3"/>
      <c r="S116" s="3"/>
      <c r="T116" s="3"/>
      <c r="U116" s="3"/>
      <c r="V116" s="83"/>
      <c r="W116" s="84"/>
      <c r="X116" s="85"/>
      <c r="Y116" s="85"/>
      <c r="Z116" s="85"/>
      <c r="AA116" s="85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7"/>
      <c r="AO116" s="88"/>
      <c r="AP116" s="86"/>
      <c r="AQ116" s="86"/>
      <c r="AR116" s="86"/>
      <c r="AS116" s="86"/>
    </row>
    <row r="117" ht="15.75" customHeight="1">
      <c r="A117" s="8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81"/>
      <c r="R117" s="3"/>
      <c r="S117" s="3"/>
      <c r="T117" s="3"/>
      <c r="U117" s="3"/>
      <c r="V117" s="83"/>
      <c r="W117" s="84"/>
      <c r="X117" s="85"/>
      <c r="Y117" s="85"/>
      <c r="Z117" s="85"/>
      <c r="AA117" s="85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7"/>
      <c r="AO117" s="88"/>
      <c r="AP117" s="86"/>
      <c r="AQ117" s="86"/>
      <c r="AR117" s="86"/>
      <c r="AS117" s="86"/>
    </row>
    <row r="118" ht="15.75" customHeight="1">
      <c r="A118" s="8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81"/>
      <c r="R118" s="3"/>
      <c r="S118" s="3"/>
      <c r="T118" s="3"/>
      <c r="U118" s="3"/>
      <c r="V118" s="83"/>
      <c r="W118" s="84"/>
      <c r="X118" s="85"/>
      <c r="Y118" s="85"/>
      <c r="Z118" s="85"/>
      <c r="AA118" s="85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7"/>
      <c r="AO118" s="88"/>
      <c r="AP118" s="86"/>
      <c r="AQ118" s="86"/>
      <c r="AR118" s="86"/>
      <c r="AS118" s="86"/>
    </row>
    <row r="119" ht="15.75" customHeight="1">
      <c r="A119" s="8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81"/>
      <c r="R119" s="3"/>
      <c r="S119" s="3"/>
      <c r="T119" s="3"/>
      <c r="U119" s="3"/>
      <c r="V119" s="83"/>
      <c r="W119" s="84"/>
      <c r="X119" s="85"/>
      <c r="Y119" s="85"/>
      <c r="Z119" s="85"/>
      <c r="AA119" s="85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7"/>
      <c r="AO119" s="88"/>
      <c r="AP119" s="86"/>
      <c r="AQ119" s="86"/>
      <c r="AR119" s="86"/>
      <c r="AS119" s="86"/>
    </row>
    <row r="120" ht="15.75" customHeight="1">
      <c r="A120" s="8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81"/>
      <c r="R120" s="3"/>
      <c r="S120" s="3"/>
      <c r="T120" s="3"/>
      <c r="U120" s="3"/>
      <c r="V120" s="83"/>
      <c r="W120" s="84"/>
      <c r="X120" s="85"/>
      <c r="Y120" s="85"/>
      <c r="Z120" s="85"/>
      <c r="AA120" s="85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7"/>
      <c r="AO120" s="88"/>
      <c r="AP120" s="86"/>
      <c r="AQ120" s="86"/>
      <c r="AR120" s="86"/>
      <c r="AS120" s="86"/>
    </row>
    <row r="121" ht="15.75" customHeight="1">
      <c r="A121" s="8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81"/>
      <c r="R121" s="3"/>
      <c r="S121" s="3"/>
      <c r="T121" s="3"/>
      <c r="U121" s="3"/>
      <c r="V121" s="83"/>
      <c r="W121" s="84"/>
      <c r="X121" s="85"/>
      <c r="Y121" s="85"/>
      <c r="Z121" s="85"/>
      <c r="AA121" s="85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7"/>
      <c r="AO121" s="88"/>
      <c r="AP121" s="86"/>
      <c r="AQ121" s="86"/>
      <c r="AR121" s="86"/>
      <c r="AS121" s="86"/>
    </row>
    <row r="122" ht="15.75" customHeight="1">
      <c r="A122" s="8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81"/>
      <c r="R122" s="3"/>
      <c r="S122" s="3"/>
      <c r="T122" s="3"/>
      <c r="U122" s="3"/>
      <c r="V122" s="83"/>
      <c r="W122" s="84"/>
      <c r="X122" s="85"/>
      <c r="Y122" s="85"/>
      <c r="Z122" s="85"/>
      <c r="AA122" s="85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7"/>
      <c r="AO122" s="88"/>
      <c r="AP122" s="86"/>
      <c r="AQ122" s="86"/>
      <c r="AR122" s="86"/>
      <c r="AS122" s="86"/>
    </row>
    <row r="123" ht="15.75" customHeight="1">
      <c r="A123" s="8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81"/>
      <c r="R123" s="3"/>
      <c r="S123" s="3"/>
      <c r="T123" s="3"/>
      <c r="U123" s="3"/>
      <c r="V123" s="83"/>
      <c r="W123" s="84"/>
      <c r="X123" s="85"/>
      <c r="Y123" s="85"/>
      <c r="Z123" s="85"/>
      <c r="AA123" s="85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7"/>
      <c r="AO123" s="88"/>
      <c r="AP123" s="86"/>
      <c r="AQ123" s="86"/>
      <c r="AR123" s="86"/>
      <c r="AS123" s="86"/>
    </row>
    <row r="124" ht="15.75" customHeight="1">
      <c r="A124" s="8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81"/>
      <c r="R124" s="3"/>
      <c r="S124" s="3"/>
      <c r="T124" s="3"/>
      <c r="U124" s="3"/>
      <c r="V124" s="83"/>
      <c r="W124" s="84"/>
      <c r="X124" s="85"/>
      <c r="Y124" s="85"/>
      <c r="Z124" s="85"/>
      <c r="AA124" s="85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7"/>
      <c r="AO124" s="88"/>
      <c r="AP124" s="86"/>
      <c r="AQ124" s="86"/>
      <c r="AR124" s="86"/>
      <c r="AS124" s="86"/>
    </row>
    <row r="125" ht="15.75" customHeight="1">
      <c r="A125" s="8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81"/>
      <c r="R125" s="3"/>
      <c r="S125" s="3"/>
      <c r="T125" s="3"/>
      <c r="U125" s="3"/>
      <c r="V125" s="83"/>
      <c r="W125" s="84"/>
      <c r="X125" s="85"/>
      <c r="Y125" s="85"/>
      <c r="Z125" s="85"/>
      <c r="AA125" s="85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7"/>
      <c r="AO125" s="88"/>
      <c r="AP125" s="86"/>
      <c r="AQ125" s="86"/>
      <c r="AR125" s="86"/>
      <c r="AS125" s="86"/>
    </row>
    <row r="126" ht="15.75" customHeight="1">
      <c r="A126" s="8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81"/>
      <c r="R126" s="3"/>
      <c r="S126" s="3"/>
      <c r="T126" s="3"/>
      <c r="U126" s="3"/>
      <c r="V126" s="83"/>
      <c r="W126" s="84"/>
      <c r="X126" s="85"/>
      <c r="Y126" s="85"/>
      <c r="Z126" s="85"/>
      <c r="AA126" s="85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7"/>
      <c r="AO126" s="88"/>
      <c r="AP126" s="86"/>
      <c r="AQ126" s="86"/>
      <c r="AR126" s="86"/>
      <c r="AS126" s="86"/>
    </row>
    <row r="127" ht="15.75" customHeight="1">
      <c r="A127" s="8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81"/>
      <c r="R127" s="3"/>
      <c r="S127" s="3"/>
      <c r="T127" s="3"/>
      <c r="U127" s="3"/>
      <c r="V127" s="83"/>
      <c r="W127" s="84"/>
      <c r="X127" s="85"/>
      <c r="Y127" s="85"/>
      <c r="Z127" s="85"/>
      <c r="AA127" s="85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7"/>
      <c r="AO127" s="88"/>
      <c r="AP127" s="86"/>
      <c r="AQ127" s="86"/>
      <c r="AR127" s="86"/>
      <c r="AS127" s="86"/>
    </row>
    <row r="128" ht="15.75" customHeight="1">
      <c r="A128" s="8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81"/>
      <c r="R128" s="3"/>
      <c r="S128" s="3"/>
      <c r="T128" s="3"/>
      <c r="U128" s="3"/>
      <c r="V128" s="83"/>
      <c r="W128" s="84"/>
      <c r="X128" s="85"/>
      <c r="Y128" s="85"/>
      <c r="Z128" s="85"/>
      <c r="AA128" s="85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7"/>
      <c r="AO128" s="88"/>
      <c r="AP128" s="86"/>
      <c r="AQ128" s="86"/>
      <c r="AR128" s="86"/>
      <c r="AS128" s="86"/>
    </row>
    <row r="129" ht="15.75" customHeight="1">
      <c r="A129" s="8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81"/>
      <c r="R129" s="3"/>
      <c r="S129" s="3"/>
      <c r="T129" s="3"/>
      <c r="U129" s="3"/>
      <c r="V129" s="83"/>
      <c r="W129" s="84"/>
      <c r="X129" s="85"/>
      <c r="Y129" s="85"/>
      <c r="Z129" s="85"/>
      <c r="AA129" s="85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7"/>
      <c r="AO129" s="88"/>
      <c r="AP129" s="86"/>
      <c r="AQ129" s="86"/>
      <c r="AR129" s="86"/>
      <c r="AS129" s="86"/>
    </row>
    <row r="130" ht="15.75" customHeight="1">
      <c r="A130" s="8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81"/>
      <c r="R130" s="3"/>
      <c r="S130" s="3"/>
      <c r="T130" s="3"/>
      <c r="U130" s="3"/>
      <c r="V130" s="83"/>
      <c r="W130" s="84"/>
      <c r="X130" s="85"/>
      <c r="Y130" s="85"/>
      <c r="Z130" s="85"/>
      <c r="AA130" s="85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7"/>
      <c r="AO130" s="88"/>
      <c r="AP130" s="86"/>
      <c r="AQ130" s="86"/>
      <c r="AR130" s="86"/>
      <c r="AS130" s="86"/>
    </row>
    <row r="131" ht="15.75" customHeight="1">
      <c r="A131" s="8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81"/>
      <c r="R131" s="3"/>
      <c r="S131" s="3"/>
      <c r="T131" s="3"/>
      <c r="U131" s="3"/>
      <c r="V131" s="83"/>
      <c r="W131" s="84"/>
      <c r="X131" s="85"/>
      <c r="Y131" s="85"/>
      <c r="Z131" s="85"/>
      <c r="AA131" s="85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7"/>
      <c r="AO131" s="88"/>
      <c r="AP131" s="86"/>
      <c r="AQ131" s="86"/>
      <c r="AR131" s="86"/>
      <c r="AS131" s="86"/>
    </row>
    <row r="132" ht="15.75" customHeight="1">
      <c r="A132" s="8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81"/>
      <c r="R132" s="3"/>
      <c r="S132" s="3"/>
      <c r="T132" s="3"/>
      <c r="U132" s="3"/>
      <c r="V132" s="83"/>
      <c r="W132" s="84"/>
      <c r="X132" s="85"/>
      <c r="Y132" s="85"/>
      <c r="Z132" s="85"/>
      <c r="AA132" s="85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7"/>
      <c r="AO132" s="88"/>
      <c r="AP132" s="86"/>
      <c r="AQ132" s="86"/>
      <c r="AR132" s="86"/>
      <c r="AS132" s="86"/>
    </row>
    <row r="133" ht="15.75" customHeight="1">
      <c r="A133" s="8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81"/>
      <c r="R133" s="3"/>
      <c r="S133" s="3"/>
      <c r="T133" s="3"/>
      <c r="U133" s="3"/>
      <c r="V133" s="83"/>
      <c r="W133" s="84"/>
      <c r="X133" s="85"/>
      <c r="Y133" s="85"/>
      <c r="Z133" s="85"/>
      <c r="AA133" s="85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7"/>
      <c r="AO133" s="88"/>
      <c r="AP133" s="86"/>
      <c r="AQ133" s="86"/>
      <c r="AR133" s="86"/>
      <c r="AS133" s="86"/>
    </row>
    <row r="134" ht="15.75" customHeight="1">
      <c r="A134" s="8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81"/>
      <c r="R134" s="3"/>
      <c r="S134" s="3"/>
      <c r="T134" s="3"/>
      <c r="U134" s="3"/>
      <c r="V134" s="83"/>
      <c r="W134" s="84"/>
      <c r="X134" s="85"/>
      <c r="Y134" s="85"/>
      <c r="Z134" s="85"/>
      <c r="AA134" s="85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7"/>
      <c r="AO134" s="88"/>
      <c r="AP134" s="86"/>
      <c r="AQ134" s="86"/>
      <c r="AR134" s="86"/>
      <c r="AS134" s="86"/>
    </row>
    <row r="135" ht="15.75" customHeight="1">
      <c r="A135" s="8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81"/>
      <c r="R135" s="3"/>
      <c r="S135" s="3"/>
      <c r="T135" s="3"/>
      <c r="U135" s="3"/>
      <c r="V135" s="83"/>
      <c r="W135" s="84"/>
      <c r="X135" s="85"/>
      <c r="Y135" s="85"/>
      <c r="Z135" s="85"/>
      <c r="AA135" s="85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7"/>
      <c r="AO135" s="88"/>
      <c r="AP135" s="86"/>
      <c r="AQ135" s="86"/>
      <c r="AR135" s="86"/>
      <c r="AS135" s="86"/>
    </row>
    <row r="136" ht="15.75" customHeight="1">
      <c r="A136" s="8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81"/>
      <c r="R136" s="3"/>
      <c r="S136" s="3"/>
      <c r="T136" s="3"/>
      <c r="U136" s="3"/>
      <c r="V136" s="83"/>
      <c r="W136" s="84"/>
      <c r="X136" s="85"/>
      <c r="Y136" s="85"/>
      <c r="Z136" s="85"/>
      <c r="AA136" s="85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7"/>
      <c r="AO136" s="88"/>
      <c r="AP136" s="86"/>
      <c r="AQ136" s="86"/>
      <c r="AR136" s="86"/>
      <c r="AS136" s="86"/>
    </row>
    <row r="137" ht="15.75" customHeight="1">
      <c r="A137" s="8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81"/>
      <c r="R137" s="3"/>
      <c r="S137" s="3"/>
      <c r="T137" s="3"/>
      <c r="U137" s="3"/>
      <c r="V137" s="83"/>
      <c r="W137" s="84"/>
      <c r="X137" s="85"/>
      <c r="Y137" s="85"/>
      <c r="Z137" s="85"/>
      <c r="AA137" s="85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7"/>
      <c r="AO137" s="88"/>
      <c r="AP137" s="86"/>
      <c r="AQ137" s="86"/>
      <c r="AR137" s="86"/>
      <c r="AS137" s="86"/>
    </row>
    <row r="138" ht="15.75" customHeight="1">
      <c r="A138" s="8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81"/>
      <c r="R138" s="3"/>
      <c r="S138" s="3"/>
      <c r="T138" s="3"/>
      <c r="U138" s="3"/>
      <c r="V138" s="83"/>
      <c r="W138" s="84"/>
      <c r="X138" s="85"/>
      <c r="Y138" s="85"/>
      <c r="Z138" s="85"/>
      <c r="AA138" s="85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7"/>
      <c r="AO138" s="88"/>
      <c r="AP138" s="86"/>
      <c r="AQ138" s="86"/>
      <c r="AR138" s="86"/>
      <c r="AS138" s="86"/>
    </row>
    <row r="139" ht="15.75" customHeight="1">
      <c r="A139" s="8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81"/>
      <c r="R139" s="3"/>
      <c r="S139" s="3"/>
      <c r="T139" s="3"/>
      <c r="U139" s="3"/>
      <c r="V139" s="83"/>
      <c r="W139" s="84"/>
      <c r="X139" s="85"/>
      <c r="Y139" s="85"/>
      <c r="Z139" s="85"/>
      <c r="AA139" s="85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7"/>
      <c r="AO139" s="88"/>
      <c r="AP139" s="86"/>
      <c r="AQ139" s="86"/>
      <c r="AR139" s="86"/>
      <c r="AS139" s="86"/>
    </row>
    <row r="140" ht="15.75" customHeight="1">
      <c r="A140" s="8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81"/>
      <c r="R140" s="3"/>
      <c r="S140" s="3"/>
      <c r="T140" s="3"/>
      <c r="U140" s="3"/>
      <c r="V140" s="83"/>
      <c r="W140" s="84"/>
      <c r="X140" s="85"/>
      <c r="Y140" s="85"/>
      <c r="Z140" s="85"/>
      <c r="AA140" s="85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7"/>
      <c r="AO140" s="88"/>
      <c r="AP140" s="86"/>
      <c r="AQ140" s="86"/>
      <c r="AR140" s="86"/>
      <c r="AS140" s="86"/>
    </row>
    <row r="141" ht="15.75" customHeight="1">
      <c r="A141" s="8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81"/>
      <c r="R141" s="3"/>
      <c r="S141" s="3"/>
      <c r="T141" s="3"/>
      <c r="U141" s="3"/>
      <c r="V141" s="83"/>
      <c r="W141" s="84"/>
      <c r="X141" s="85"/>
      <c r="Y141" s="85"/>
      <c r="Z141" s="85"/>
      <c r="AA141" s="85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7"/>
      <c r="AO141" s="88"/>
      <c r="AP141" s="86"/>
      <c r="AQ141" s="86"/>
      <c r="AR141" s="86"/>
      <c r="AS141" s="86"/>
    </row>
    <row r="142" ht="15.75" customHeight="1">
      <c r="A142" s="8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81"/>
      <c r="R142" s="3"/>
      <c r="S142" s="3"/>
      <c r="T142" s="3"/>
      <c r="U142" s="3"/>
      <c r="V142" s="83"/>
      <c r="W142" s="84"/>
      <c r="X142" s="85"/>
      <c r="Y142" s="85"/>
      <c r="Z142" s="85"/>
      <c r="AA142" s="85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7"/>
      <c r="AO142" s="88"/>
      <c r="AP142" s="86"/>
      <c r="AQ142" s="86"/>
      <c r="AR142" s="86"/>
      <c r="AS142" s="86"/>
    </row>
    <row r="143" ht="15.75" customHeight="1">
      <c r="A143" s="8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81"/>
      <c r="R143" s="3"/>
      <c r="S143" s="3"/>
      <c r="T143" s="3"/>
      <c r="U143" s="3"/>
      <c r="V143" s="83"/>
      <c r="W143" s="84"/>
      <c r="X143" s="85"/>
      <c r="Y143" s="85"/>
      <c r="Z143" s="85"/>
      <c r="AA143" s="85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7"/>
      <c r="AO143" s="88"/>
      <c r="AP143" s="86"/>
      <c r="AQ143" s="86"/>
      <c r="AR143" s="86"/>
      <c r="AS143" s="86"/>
    </row>
    <row r="144" ht="15.75" customHeight="1">
      <c r="A144" s="8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81"/>
      <c r="R144" s="3"/>
      <c r="S144" s="3"/>
      <c r="T144" s="3"/>
      <c r="U144" s="3"/>
      <c r="V144" s="83"/>
      <c r="W144" s="84"/>
      <c r="X144" s="85"/>
      <c r="Y144" s="85"/>
      <c r="Z144" s="85"/>
      <c r="AA144" s="85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7"/>
      <c r="AO144" s="88"/>
      <c r="AP144" s="86"/>
      <c r="AQ144" s="86"/>
      <c r="AR144" s="86"/>
      <c r="AS144" s="86"/>
    </row>
    <row r="145" ht="15.75" customHeight="1">
      <c r="A145" s="8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81"/>
      <c r="R145" s="3"/>
      <c r="S145" s="3"/>
      <c r="T145" s="3"/>
      <c r="U145" s="3"/>
      <c r="V145" s="83"/>
      <c r="W145" s="84"/>
      <c r="X145" s="85"/>
      <c r="Y145" s="85"/>
      <c r="Z145" s="85"/>
      <c r="AA145" s="85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7"/>
      <c r="AO145" s="88"/>
      <c r="AP145" s="86"/>
      <c r="AQ145" s="86"/>
      <c r="AR145" s="86"/>
      <c r="AS145" s="86"/>
    </row>
    <row r="146" ht="15.75" customHeight="1">
      <c r="A146" s="8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81"/>
      <c r="R146" s="3"/>
      <c r="S146" s="3"/>
      <c r="T146" s="3"/>
      <c r="U146" s="3"/>
      <c r="V146" s="83"/>
      <c r="W146" s="84"/>
      <c r="X146" s="85"/>
      <c r="Y146" s="85"/>
      <c r="Z146" s="85"/>
      <c r="AA146" s="85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7"/>
      <c r="AO146" s="88"/>
      <c r="AP146" s="86"/>
      <c r="AQ146" s="86"/>
      <c r="AR146" s="86"/>
      <c r="AS146" s="86"/>
    </row>
    <row r="147" ht="15.75" customHeight="1">
      <c r="A147" s="8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81"/>
      <c r="R147" s="3"/>
      <c r="S147" s="3"/>
      <c r="T147" s="3"/>
      <c r="U147" s="3"/>
      <c r="V147" s="83"/>
      <c r="W147" s="84"/>
      <c r="X147" s="85"/>
      <c r="Y147" s="85"/>
      <c r="Z147" s="85"/>
      <c r="AA147" s="85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7"/>
      <c r="AO147" s="88"/>
      <c r="AP147" s="86"/>
      <c r="AQ147" s="86"/>
      <c r="AR147" s="86"/>
      <c r="AS147" s="86"/>
    </row>
    <row r="148" ht="15.75" customHeight="1">
      <c r="A148" s="8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81"/>
      <c r="R148" s="3"/>
      <c r="S148" s="3"/>
      <c r="T148" s="3"/>
      <c r="U148" s="3"/>
      <c r="V148" s="83"/>
      <c r="W148" s="84"/>
      <c r="X148" s="85"/>
      <c r="Y148" s="85"/>
      <c r="Z148" s="85"/>
      <c r="AA148" s="85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7"/>
      <c r="AO148" s="88"/>
      <c r="AP148" s="86"/>
      <c r="AQ148" s="86"/>
      <c r="AR148" s="86"/>
      <c r="AS148" s="86"/>
    </row>
    <row r="149" ht="15.75" customHeight="1">
      <c r="A149" s="8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81"/>
      <c r="R149" s="3"/>
      <c r="S149" s="3"/>
      <c r="T149" s="3"/>
      <c r="U149" s="3"/>
      <c r="V149" s="83"/>
      <c r="W149" s="84"/>
      <c r="X149" s="85"/>
      <c r="Y149" s="85"/>
      <c r="Z149" s="85"/>
      <c r="AA149" s="85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7"/>
      <c r="AO149" s="88"/>
      <c r="AP149" s="86"/>
      <c r="AQ149" s="86"/>
      <c r="AR149" s="86"/>
      <c r="AS149" s="86"/>
    </row>
    <row r="150" ht="15.75" customHeight="1">
      <c r="A150" s="8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81"/>
      <c r="R150" s="3"/>
      <c r="S150" s="3"/>
      <c r="T150" s="3"/>
      <c r="U150" s="3"/>
      <c r="V150" s="83"/>
      <c r="W150" s="84"/>
      <c r="X150" s="85"/>
      <c r="Y150" s="85"/>
      <c r="Z150" s="85"/>
      <c r="AA150" s="85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7"/>
      <c r="AO150" s="88"/>
      <c r="AP150" s="86"/>
      <c r="AQ150" s="86"/>
      <c r="AR150" s="86"/>
      <c r="AS150" s="86"/>
    </row>
    <row r="151" ht="15.75" customHeight="1">
      <c r="A151" s="8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81"/>
      <c r="R151" s="3"/>
      <c r="S151" s="3"/>
      <c r="T151" s="3"/>
      <c r="U151" s="3"/>
      <c r="V151" s="83"/>
      <c r="W151" s="84"/>
      <c r="X151" s="85"/>
      <c r="Y151" s="85"/>
      <c r="Z151" s="85"/>
      <c r="AA151" s="85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7"/>
      <c r="AO151" s="88"/>
      <c r="AP151" s="86"/>
      <c r="AQ151" s="86"/>
      <c r="AR151" s="86"/>
      <c r="AS151" s="86"/>
    </row>
    <row r="152" ht="15.75" customHeight="1">
      <c r="A152" s="8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81"/>
      <c r="R152" s="3"/>
      <c r="S152" s="3"/>
      <c r="T152" s="3"/>
      <c r="U152" s="3"/>
      <c r="V152" s="83"/>
      <c r="W152" s="84"/>
      <c r="X152" s="85"/>
      <c r="Y152" s="85"/>
      <c r="Z152" s="85"/>
      <c r="AA152" s="85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7"/>
      <c r="AO152" s="88"/>
      <c r="AP152" s="86"/>
      <c r="AQ152" s="86"/>
      <c r="AR152" s="86"/>
      <c r="AS152" s="86"/>
    </row>
    <row r="153" ht="15.75" customHeight="1">
      <c r="A153" s="8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81"/>
      <c r="R153" s="3"/>
      <c r="S153" s="3"/>
      <c r="T153" s="3"/>
      <c r="U153" s="3"/>
      <c r="V153" s="83"/>
      <c r="W153" s="84"/>
      <c r="X153" s="85"/>
      <c r="Y153" s="85"/>
      <c r="Z153" s="85"/>
      <c r="AA153" s="85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7"/>
      <c r="AO153" s="88"/>
      <c r="AP153" s="86"/>
      <c r="AQ153" s="86"/>
      <c r="AR153" s="86"/>
      <c r="AS153" s="86"/>
    </row>
    <row r="154" ht="15.75" customHeight="1">
      <c r="A154" s="8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81"/>
      <c r="R154" s="3"/>
      <c r="S154" s="3"/>
      <c r="T154" s="3"/>
      <c r="U154" s="3"/>
      <c r="V154" s="83"/>
      <c r="W154" s="84"/>
      <c r="X154" s="85"/>
      <c r="Y154" s="85"/>
      <c r="Z154" s="85"/>
      <c r="AA154" s="85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7"/>
      <c r="AO154" s="88"/>
      <c r="AP154" s="86"/>
      <c r="AQ154" s="86"/>
      <c r="AR154" s="86"/>
      <c r="AS154" s="86"/>
    </row>
    <row r="155" ht="15.75" customHeight="1">
      <c r="A155" s="8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81"/>
      <c r="R155" s="3"/>
      <c r="S155" s="3"/>
      <c r="T155" s="3"/>
      <c r="U155" s="3"/>
      <c r="V155" s="83"/>
      <c r="W155" s="84"/>
      <c r="X155" s="85"/>
      <c r="Y155" s="85"/>
      <c r="Z155" s="85"/>
      <c r="AA155" s="85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7"/>
      <c r="AO155" s="88"/>
      <c r="AP155" s="86"/>
      <c r="AQ155" s="86"/>
      <c r="AR155" s="86"/>
      <c r="AS155" s="86"/>
    </row>
    <row r="156" ht="15.75" customHeight="1">
      <c r="A156" s="8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81"/>
      <c r="R156" s="3"/>
      <c r="S156" s="3"/>
      <c r="T156" s="3"/>
      <c r="U156" s="3"/>
      <c r="V156" s="83"/>
      <c r="W156" s="84"/>
      <c r="X156" s="85"/>
      <c r="Y156" s="85"/>
      <c r="Z156" s="85"/>
      <c r="AA156" s="85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7"/>
      <c r="AO156" s="88"/>
      <c r="AP156" s="86"/>
      <c r="AQ156" s="86"/>
      <c r="AR156" s="86"/>
      <c r="AS156" s="86"/>
    </row>
    <row r="157" ht="15.75" customHeight="1">
      <c r="A157" s="8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81"/>
      <c r="R157" s="3"/>
      <c r="S157" s="3"/>
      <c r="T157" s="3"/>
      <c r="U157" s="3"/>
      <c r="V157" s="83"/>
      <c r="W157" s="84"/>
      <c r="X157" s="85"/>
      <c r="Y157" s="85"/>
      <c r="Z157" s="85"/>
      <c r="AA157" s="85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7"/>
      <c r="AO157" s="88"/>
      <c r="AP157" s="86"/>
      <c r="AQ157" s="86"/>
      <c r="AR157" s="86"/>
      <c r="AS157" s="86"/>
    </row>
    <row r="158" ht="15.75" customHeight="1">
      <c r="A158" s="8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81"/>
      <c r="R158" s="3"/>
      <c r="S158" s="3"/>
      <c r="T158" s="3"/>
      <c r="U158" s="3"/>
      <c r="V158" s="83"/>
      <c r="W158" s="84"/>
      <c r="X158" s="85"/>
      <c r="Y158" s="85"/>
      <c r="Z158" s="85"/>
      <c r="AA158" s="85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7"/>
      <c r="AO158" s="88"/>
      <c r="AP158" s="86"/>
      <c r="AQ158" s="86"/>
      <c r="AR158" s="86"/>
      <c r="AS158" s="86"/>
    </row>
    <row r="159" ht="15.75" customHeight="1">
      <c r="A159" s="8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81"/>
      <c r="R159" s="3"/>
      <c r="S159" s="3"/>
      <c r="T159" s="3"/>
      <c r="U159" s="3"/>
      <c r="V159" s="83"/>
      <c r="W159" s="84"/>
      <c r="X159" s="85"/>
      <c r="Y159" s="85"/>
      <c r="Z159" s="85"/>
      <c r="AA159" s="85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7"/>
      <c r="AO159" s="88"/>
      <c r="AP159" s="86"/>
      <c r="AQ159" s="86"/>
      <c r="AR159" s="86"/>
      <c r="AS159" s="86"/>
    </row>
    <row r="160" ht="15.75" customHeight="1">
      <c r="A160" s="8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81"/>
      <c r="R160" s="3"/>
      <c r="S160" s="3"/>
      <c r="T160" s="3"/>
      <c r="U160" s="3"/>
      <c r="V160" s="83"/>
      <c r="W160" s="84"/>
      <c r="X160" s="85"/>
      <c r="Y160" s="85"/>
      <c r="Z160" s="85"/>
      <c r="AA160" s="85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7"/>
      <c r="AO160" s="88"/>
      <c r="AP160" s="86"/>
      <c r="AQ160" s="86"/>
      <c r="AR160" s="86"/>
      <c r="AS160" s="86"/>
    </row>
    <row r="161" ht="15.75" customHeight="1">
      <c r="A161" s="8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81"/>
      <c r="R161" s="3"/>
      <c r="S161" s="3"/>
      <c r="T161" s="3"/>
      <c r="U161" s="3"/>
      <c r="V161" s="83"/>
      <c r="W161" s="84"/>
      <c r="X161" s="85"/>
      <c r="Y161" s="85"/>
      <c r="Z161" s="85"/>
      <c r="AA161" s="85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7"/>
      <c r="AO161" s="88"/>
      <c r="AP161" s="86"/>
      <c r="AQ161" s="86"/>
      <c r="AR161" s="86"/>
      <c r="AS161" s="86"/>
    </row>
    <row r="162" ht="15.75" customHeight="1">
      <c r="A162" s="8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81"/>
      <c r="R162" s="3"/>
      <c r="S162" s="3"/>
      <c r="T162" s="3"/>
      <c r="U162" s="3"/>
      <c r="V162" s="83"/>
      <c r="W162" s="84"/>
      <c r="X162" s="85"/>
      <c r="Y162" s="85"/>
      <c r="Z162" s="85"/>
      <c r="AA162" s="85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7"/>
      <c r="AO162" s="88"/>
      <c r="AP162" s="86"/>
      <c r="AQ162" s="86"/>
      <c r="AR162" s="86"/>
      <c r="AS162" s="86"/>
    </row>
    <row r="163" ht="15.75" customHeight="1">
      <c r="A163" s="8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81"/>
      <c r="R163" s="3"/>
      <c r="S163" s="3"/>
      <c r="T163" s="3"/>
      <c r="U163" s="3"/>
      <c r="V163" s="83"/>
      <c r="W163" s="84"/>
      <c r="X163" s="85"/>
      <c r="Y163" s="85"/>
      <c r="Z163" s="85"/>
      <c r="AA163" s="85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7"/>
      <c r="AO163" s="88"/>
      <c r="AP163" s="86"/>
      <c r="AQ163" s="86"/>
      <c r="AR163" s="86"/>
      <c r="AS163" s="86"/>
    </row>
    <row r="164" ht="15.75" customHeight="1">
      <c r="A164" s="8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81"/>
      <c r="R164" s="3"/>
      <c r="S164" s="3"/>
      <c r="T164" s="3"/>
      <c r="U164" s="3"/>
      <c r="V164" s="83"/>
      <c r="W164" s="84"/>
      <c r="X164" s="85"/>
      <c r="Y164" s="85"/>
      <c r="Z164" s="85"/>
      <c r="AA164" s="85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7"/>
      <c r="AO164" s="88"/>
      <c r="AP164" s="86"/>
      <c r="AQ164" s="86"/>
      <c r="AR164" s="86"/>
      <c r="AS164" s="86"/>
    </row>
    <row r="165" ht="15.75" customHeight="1">
      <c r="A165" s="8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81"/>
      <c r="R165" s="3"/>
      <c r="S165" s="3"/>
      <c r="T165" s="3"/>
      <c r="U165" s="3"/>
      <c r="V165" s="83"/>
      <c r="W165" s="84"/>
      <c r="X165" s="85"/>
      <c r="Y165" s="85"/>
      <c r="Z165" s="85"/>
      <c r="AA165" s="85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7"/>
      <c r="AO165" s="88"/>
      <c r="AP165" s="86"/>
      <c r="AQ165" s="86"/>
      <c r="AR165" s="86"/>
      <c r="AS165" s="86"/>
    </row>
    <row r="166" ht="15.75" customHeight="1">
      <c r="A166" s="8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81"/>
      <c r="R166" s="3"/>
      <c r="S166" s="3"/>
      <c r="T166" s="3"/>
      <c r="U166" s="3"/>
      <c r="V166" s="83"/>
      <c r="W166" s="84"/>
      <c r="X166" s="85"/>
      <c r="Y166" s="85"/>
      <c r="Z166" s="85"/>
      <c r="AA166" s="85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7"/>
      <c r="AO166" s="88"/>
      <c r="AP166" s="86"/>
      <c r="AQ166" s="86"/>
      <c r="AR166" s="86"/>
      <c r="AS166" s="86"/>
    </row>
    <row r="167" ht="15.75" customHeight="1">
      <c r="A167" s="8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81"/>
      <c r="R167" s="3"/>
      <c r="S167" s="3"/>
      <c r="T167" s="3"/>
      <c r="U167" s="3"/>
      <c r="V167" s="83"/>
      <c r="W167" s="84"/>
      <c r="X167" s="85"/>
      <c r="Y167" s="85"/>
      <c r="Z167" s="85"/>
      <c r="AA167" s="85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7"/>
      <c r="AO167" s="88"/>
      <c r="AP167" s="86"/>
      <c r="AQ167" s="86"/>
      <c r="AR167" s="86"/>
      <c r="AS167" s="86"/>
    </row>
    <row r="168" ht="15.75" customHeight="1">
      <c r="A168" s="8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81"/>
      <c r="R168" s="3"/>
      <c r="S168" s="3"/>
      <c r="T168" s="3"/>
      <c r="U168" s="3"/>
      <c r="V168" s="83"/>
      <c r="W168" s="84"/>
      <c r="X168" s="85"/>
      <c r="Y168" s="85"/>
      <c r="Z168" s="85"/>
      <c r="AA168" s="85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7"/>
      <c r="AO168" s="88"/>
      <c r="AP168" s="86"/>
      <c r="AQ168" s="86"/>
      <c r="AR168" s="86"/>
      <c r="AS168" s="86"/>
    </row>
    <row r="169" ht="15.75" customHeight="1">
      <c r="A169" s="8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81"/>
      <c r="R169" s="3"/>
      <c r="S169" s="3"/>
      <c r="T169" s="3"/>
      <c r="U169" s="3"/>
      <c r="V169" s="83"/>
      <c r="W169" s="84"/>
      <c r="X169" s="85"/>
      <c r="Y169" s="85"/>
      <c r="Z169" s="85"/>
      <c r="AA169" s="85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7"/>
      <c r="AO169" s="88"/>
      <c r="AP169" s="86"/>
      <c r="AQ169" s="86"/>
      <c r="AR169" s="86"/>
      <c r="AS169" s="86"/>
    </row>
    <row r="170" ht="15.75" customHeight="1">
      <c r="A170" s="8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81"/>
      <c r="R170" s="3"/>
      <c r="S170" s="3"/>
      <c r="T170" s="3"/>
      <c r="U170" s="3"/>
      <c r="V170" s="83"/>
      <c r="W170" s="84"/>
      <c r="X170" s="85"/>
      <c r="Y170" s="85"/>
      <c r="Z170" s="85"/>
      <c r="AA170" s="85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7"/>
      <c r="AO170" s="88"/>
      <c r="AP170" s="86"/>
      <c r="AQ170" s="86"/>
      <c r="AR170" s="86"/>
      <c r="AS170" s="86"/>
    </row>
    <row r="171" ht="15.75" customHeight="1">
      <c r="A171" s="8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81"/>
      <c r="R171" s="3"/>
      <c r="S171" s="3"/>
      <c r="T171" s="3"/>
      <c r="U171" s="3"/>
      <c r="V171" s="83"/>
      <c r="W171" s="84"/>
      <c r="X171" s="85"/>
      <c r="Y171" s="85"/>
      <c r="Z171" s="85"/>
      <c r="AA171" s="85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7"/>
      <c r="AO171" s="88"/>
      <c r="AP171" s="86"/>
      <c r="AQ171" s="86"/>
      <c r="AR171" s="86"/>
      <c r="AS171" s="86"/>
    </row>
    <row r="172" ht="15.75" customHeight="1">
      <c r="A172" s="8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81"/>
      <c r="R172" s="3"/>
      <c r="S172" s="3"/>
      <c r="T172" s="3"/>
      <c r="U172" s="3"/>
      <c r="V172" s="83"/>
      <c r="W172" s="84"/>
      <c r="X172" s="85"/>
      <c r="Y172" s="85"/>
      <c r="Z172" s="85"/>
      <c r="AA172" s="85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7"/>
      <c r="AO172" s="88"/>
      <c r="AP172" s="86"/>
      <c r="AQ172" s="86"/>
      <c r="AR172" s="86"/>
      <c r="AS172" s="86"/>
    </row>
    <row r="173" ht="15.75" customHeight="1">
      <c r="A173" s="8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81"/>
      <c r="R173" s="3"/>
      <c r="S173" s="3"/>
      <c r="T173" s="3"/>
      <c r="U173" s="3"/>
      <c r="V173" s="83"/>
      <c r="W173" s="84"/>
      <c r="X173" s="85"/>
      <c r="Y173" s="85"/>
      <c r="Z173" s="85"/>
      <c r="AA173" s="85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7"/>
      <c r="AO173" s="88"/>
      <c r="AP173" s="86"/>
      <c r="AQ173" s="86"/>
      <c r="AR173" s="86"/>
      <c r="AS173" s="86"/>
    </row>
    <row r="174" ht="15.75" customHeight="1">
      <c r="A174" s="8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81"/>
      <c r="R174" s="3"/>
      <c r="S174" s="3"/>
      <c r="T174" s="3"/>
      <c r="U174" s="3"/>
      <c r="V174" s="83"/>
      <c r="W174" s="84"/>
      <c r="X174" s="85"/>
      <c r="Y174" s="85"/>
      <c r="Z174" s="85"/>
      <c r="AA174" s="85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7"/>
      <c r="AO174" s="88"/>
      <c r="AP174" s="86"/>
      <c r="AQ174" s="86"/>
      <c r="AR174" s="86"/>
      <c r="AS174" s="86"/>
    </row>
    <row r="175" ht="15.75" customHeight="1">
      <c r="A175" s="8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81"/>
      <c r="R175" s="3"/>
      <c r="S175" s="3"/>
      <c r="T175" s="3"/>
      <c r="U175" s="3"/>
      <c r="V175" s="83"/>
      <c r="W175" s="84"/>
      <c r="X175" s="85"/>
      <c r="Y175" s="85"/>
      <c r="Z175" s="85"/>
      <c r="AA175" s="85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7"/>
      <c r="AO175" s="88"/>
      <c r="AP175" s="86"/>
      <c r="AQ175" s="86"/>
      <c r="AR175" s="86"/>
      <c r="AS175" s="86"/>
    </row>
    <row r="176" ht="15.75" customHeight="1">
      <c r="A176" s="8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81"/>
      <c r="R176" s="3"/>
      <c r="S176" s="3"/>
      <c r="T176" s="3"/>
      <c r="U176" s="3"/>
      <c r="V176" s="83"/>
      <c r="W176" s="84"/>
      <c r="X176" s="85"/>
      <c r="Y176" s="85"/>
      <c r="Z176" s="85"/>
      <c r="AA176" s="85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7"/>
      <c r="AO176" s="88"/>
      <c r="AP176" s="86"/>
      <c r="AQ176" s="86"/>
      <c r="AR176" s="86"/>
      <c r="AS176" s="86"/>
    </row>
    <row r="177" ht="15.75" customHeight="1">
      <c r="A177" s="8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81"/>
      <c r="R177" s="3"/>
      <c r="S177" s="3"/>
      <c r="T177" s="3"/>
      <c r="U177" s="3"/>
      <c r="V177" s="83"/>
      <c r="W177" s="84"/>
      <c r="X177" s="85"/>
      <c r="Y177" s="85"/>
      <c r="Z177" s="85"/>
      <c r="AA177" s="85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7"/>
      <c r="AO177" s="88"/>
      <c r="AP177" s="86"/>
      <c r="AQ177" s="86"/>
      <c r="AR177" s="86"/>
      <c r="AS177" s="86"/>
    </row>
    <row r="178" ht="15.75" customHeight="1">
      <c r="A178" s="8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81"/>
      <c r="R178" s="3"/>
      <c r="S178" s="3"/>
      <c r="T178" s="3"/>
      <c r="U178" s="3"/>
      <c r="V178" s="83"/>
      <c r="W178" s="84"/>
      <c r="X178" s="85"/>
      <c r="Y178" s="85"/>
      <c r="Z178" s="85"/>
      <c r="AA178" s="85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7"/>
      <c r="AO178" s="88"/>
      <c r="AP178" s="86"/>
      <c r="AQ178" s="86"/>
      <c r="AR178" s="86"/>
      <c r="AS178" s="86"/>
    </row>
    <row r="179" ht="15.75" customHeight="1">
      <c r="A179" s="8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81"/>
      <c r="R179" s="3"/>
      <c r="S179" s="3"/>
      <c r="T179" s="3"/>
      <c r="U179" s="3"/>
      <c r="V179" s="83"/>
      <c r="W179" s="84"/>
      <c r="X179" s="85"/>
      <c r="Y179" s="85"/>
      <c r="Z179" s="85"/>
      <c r="AA179" s="85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7"/>
      <c r="AO179" s="88"/>
      <c r="AP179" s="86"/>
      <c r="AQ179" s="86"/>
      <c r="AR179" s="86"/>
      <c r="AS179" s="86"/>
    </row>
    <row r="180" ht="15.75" customHeight="1">
      <c r="A180" s="8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81"/>
      <c r="R180" s="3"/>
      <c r="S180" s="3"/>
      <c r="T180" s="3"/>
      <c r="U180" s="3"/>
      <c r="V180" s="83"/>
      <c r="W180" s="84"/>
      <c r="X180" s="85"/>
      <c r="Y180" s="85"/>
      <c r="Z180" s="85"/>
      <c r="AA180" s="85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7"/>
      <c r="AO180" s="88"/>
      <c r="AP180" s="86"/>
      <c r="AQ180" s="86"/>
      <c r="AR180" s="86"/>
      <c r="AS180" s="86"/>
    </row>
    <row r="181" ht="15.75" customHeight="1">
      <c r="A181" s="8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81"/>
      <c r="R181" s="3"/>
      <c r="S181" s="3"/>
      <c r="T181" s="3"/>
      <c r="U181" s="3"/>
      <c r="V181" s="83"/>
      <c r="W181" s="84"/>
      <c r="X181" s="85"/>
      <c r="Y181" s="85"/>
      <c r="Z181" s="85"/>
      <c r="AA181" s="85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7"/>
      <c r="AO181" s="88"/>
      <c r="AP181" s="86"/>
      <c r="AQ181" s="86"/>
      <c r="AR181" s="86"/>
      <c r="AS181" s="86"/>
    </row>
    <row r="182" ht="15.75" customHeight="1">
      <c r="A182" s="8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81"/>
      <c r="R182" s="3"/>
      <c r="S182" s="3"/>
      <c r="T182" s="3"/>
      <c r="U182" s="3"/>
      <c r="V182" s="83"/>
      <c r="W182" s="84"/>
      <c r="X182" s="85"/>
      <c r="Y182" s="85"/>
      <c r="Z182" s="85"/>
      <c r="AA182" s="85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7"/>
      <c r="AO182" s="88"/>
      <c r="AP182" s="86"/>
      <c r="AQ182" s="86"/>
      <c r="AR182" s="86"/>
      <c r="AS182" s="86"/>
    </row>
    <row r="183" ht="15.75" customHeight="1">
      <c r="A183" s="8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81"/>
      <c r="R183" s="3"/>
      <c r="S183" s="3"/>
      <c r="T183" s="3"/>
      <c r="U183" s="3"/>
      <c r="V183" s="83"/>
      <c r="W183" s="84"/>
      <c r="X183" s="85"/>
      <c r="Y183" s="85"/>
      <c r="Z183" s="85"/>
      <c r="AA183" s="85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7"/>
      <c r="AO183" s="88"/>
      <c r="AP183" s="86"/>
      <c r="AQ183" s="86"/>
      <c r="AR183" s="86"/>
      <c r="AS183" s="86"/>
    </row>
    <row r="184" ht="15.75" customHeight="1">
      <c r="A184" s="8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81"/>
      <c r="R184" s="3"/>
      <c r="S184" s="3"/>
      <c r="T184" s="3"/>
      <c r="U184" s="3"/>
      <c r="V184" s="83"/>
      <c r="W184" s="84"/>
      <c r="X184" s="85"/>
      <c r="Y184" s="85"/>
      <c r="Z184" s="85"/>
      <c r="AA184" s="85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7"/>
      <c r="AO184" s="88"/>
      <c r="AP184" s="86"/>
      <c r="AQ184" s="86"/>
      <c r="AR184" s="86"/>
      <c r="AS184" s="86"/>
    </row>
    <row r="185" ht="15.75" customHeight="1">
      <c r="A185" s="8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81"/>
      <c r="R185" s="3"/>
      <c r="S185" s="3"/>
      <c r="T185" s="3"/>
      <c r="U185" s="3"/>
      <c r="V185" s="83"/>
      <c r="W185" s="84"/>
      <c r="X185" s="85"/>
      <c r="Y185" s="85"/>
      <c r="Z185" s="85"/>
      <c r="AA185" s="85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7"/>
      <c r="AO185" s="88"/>
      <c r="AP185" s="86"/>
      <c r="AQ185" s="86"/>
      <c r="AR185" s="86"/>
      <c r="AS185" s="86"/>
    </row>
    <row r="186" ht="15.75" customHeight="1">
      <c r="A186" s="8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81"/>
      <c r="R186" s="3"/>
      <c r="S186" s="3"/>
      <c r="T186" s="3"/>
      <c r="U186" s="3"/>
      <c r="V186" s="83"/>
      <c r="W186" s="84"/>
      <c r="X186" s="85"/>
      <c r="Y186" s="85"/>
      <c r="Z186" s="85"/>
      <c r="AA186" s="85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7"/>
      <c r="AO186" s="88"/>
      <c r="AP186" s="86"/>
      <c r="AQ186" s="86"/>
      <c r="AR186" s="86"/>
      <c r="AS186" s="86"/>
    </row>
    <row r="187" ht="15.75" customHeight="1">
      <c r="A187" s="8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81"/>
      <c r="R187" s="3"/>
      <c r="S187" s="3"/>
      <c r="T187" s="3"/>
      <c r="U187" s="3"/>
      <c r="V187" s="83"/>
      <c r="W187" s="84"/>
      <c r="X187" s="85"/>
      <c r="Y187" s="85"/>
      <c r="Z187" s="85"/>
      <c r="AA187" s="85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7"/>
      <c r="AO187" s="88"/>
      <c r="AP187" s="86"/>
      <c r="AQ187" s="86"/>
      <c r="AR187" s="86"/>
      <c r="AS187" s="86"/>
    </row>
    <row r="188" ht="15.75" customHeight="1">
      <c r="A188" s="8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81"/>
      <c r="R188" s="3"/>
      <c r="S188" s="3"/>
      <c r="T188" s="3"/>
      <c r="U188" s="3"/>
      <c r="V188" s="83"/>
      <c r="W188" s="84"/>
      <c r="X188" s="85"/>
      <c r="Y188" s="85"/>
      <c r="Z188" s="85"/>
      <c r="AA188" s="85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7"/>
      <c r="AO188" s="88"/>
      <c r="AP188" s="86"/>
      <c r="AQ188" s="86"/>
      <c r="AR188" s="86"/>
      <c r="AS188" s="86"/>
    </row>
    <row r="189" ht="15.75" customHeight="1">
      <c r="A189" s="8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81"/>
      <c r="R189" s="3"/>
      <c r="S189" s="3"/>
      <c r="T189" s="3"/>
      <c r="U189" s="3"/>
      <c r="V189" s="83"/>
      <c r="W189" s="84"/>
      <c r="X189" s="85"/>
      <c r="Y189" s="85"/>
      <c r="Z189" s="85"/>
      <c r="AA189" s="85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7"/>
      <c r="AO189" s="88"/>
      <c r="AP189" s="86"/>
      <c r="AQ189" s="86"/>
      <c r="AR189" s="86"/>
      <c r="AS189" s="86"/>
    </row>
    <row r="190" ht="15.75" customHeight="1">
      <c r="A190" s="8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81"/>
      <c r="R190" s="3"/>
      <c r="S190" s="3"/>
      <c r="T190" s="3"/>
      <c r="U190" s="3"/>
      <c r="V190" s="83"/>
      <c r="W190" s="84"/>
      <c r="X190" s="85"/>
      <c r="Y190" s="85"/>
      <c r="Z190" s="85"/>
      <c r="AA190" s="85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7"/>
      <c r="AO190" s="88"/>
      <c r="AP190" s="86"/>
      <c r="AQ190" s="86"/>
      <c r="AR190" s="86"/>
      <c r="AS190" s="86"/>
    </row>
    <row r="191" ht="15.75" customHeight="1">
      <c r="A191" s="8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81"/>
      <c r="R191" s="3"/>
      <c r="S191" s="3"/>
      <c r="T191" s="3"/>
      <c r="U191" s="3"/>
      <c r="V191" s="83"/>
      <c r="W191" s="84"/>
      <c r="X191" s="85"/>
      <c r="Y191" s="85"/>
      <c r="Z191" s="85"/>
      <c r="AA191" s="85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7"/>
      <c r="AO191" s="88"/>
      <c r="AP191" s="86"/>
      <c r="AQ191" s="86"/>
      <c r="AR191" s="86"/>
      <c r="AS191" s="86"/>
    </row>
    <row r="192" ht="15.75" customHeight="1">
      <c r="A192" s="8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81"/>
      <c r="R192" s="3"/>
      <c r="S192" s="3"/>
      <c r="T192" s="3"/>
      <c r="U192" s="3"/>
      <c r="V192" s="83"/>
      <c r="W192" s="84"/>
      <c r="X192" s="85"/>
      <c r="Y192" s="85"/>
      <c r="Z192" s="85"/>
      <c r="AA192" s="85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7"/>
      <c r="AO192" s="88"/>
      <c r="AP192" s="86"/>
      <c r="AQ192" s="86"/>
      <c r="AR192" s="86"/>
      <c r="AS192" s="86"/>
    </row>
    <row r="193" ht="15.75" customHeight="1">
      <c r="A193" s="8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81"/>
      <c r="R193" s="3"/>
      <c r="S193" s="3"/>
      <c r="T193" s="3"/>
      <c r="U193" s="3"/>
      <c r="V193" s="83"/>
      <c r="W193" s="84"/>
      <c r="X193" s="85"/>
      <c r="Y193" s="85"/>
      <c r="Z193" s="85"/>
      <c r="AA193" s="85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7"/>
      <c r="AO193" s="88"/>
      <c r="AP193" s="86"/>
      <c r="AQ193" s="86"/>
      <c r="AR193" s="86"/>
      <c r="AS193" s="86"/>
    </row>
    <row r="194" ht="15.75" customHeight="1">
      <c r="A194" s="8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81"/>
      <c r="R194" s="3"/>
      <c r="S194" s="3"/>
      <c r="T194" s="3"/>
      <c r="U194" s="3"/>
      <c r="V194" s="83"/>
      <c r="W194" s="84"/>
      <c r="X194" s="85"/>
      <c r="Y194" s="85"/>
      <c r="Z194" s="85"/>
      <c r="AA194" s="85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7"/>
      <c r="AO194" s="88"/>
      <c r="AP194" s="86"/>
      <c r="AQ194" s="86"/>
      <c r="AR194" s="86"/>
      <c r="AS194" s="86"/>
    </row>
    <row r="195" ht="15.75" customHeight="1">
      <c r="A195" s="8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81"/>
      <c r="R195" s="3"/>
      <c r="S195" s="3"/>
      <c r="T195" s="3"/>
      <c r="U195" s="3"/>
      <c r="V195" s="83"/>
      <c r="W195" s="84"/>
      <c r="X195" s="85"/>
      <c r="Y195" s="85"/>
      <c r="Z195" s="85"/>
      <c r="AA195" s="85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7"/>
      <c r="AO195" s="88"/>
      <c r="AP195" s="86"/>
      <c r="AQ195" s="86"/>
      <c r="AR195" s="86"/>
      <c r="AS195" s="86"/>
    </row>
    <row r="196" ht="15.75" customHeight="1">
      <c r="A196" s="8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81"/>
      <c r="R196" s="3"/>
      <c r="S196" s="3"/>
      <c r="T196" s="3"/>
      <c r="U196" s="3"/>
      <c r="V196" s="83"/>
      <c r="W196" s="84"/>
      <c r="X196" s="85"/>
      <c r="Y196" s="85"/>
      <c r="Z196" s="85"/>
      <c r="AA196" s="85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7"/>
      <c r="AO196" s="88"/>
      <c r="AP196" s="86"/>
      <c r="AQ196" s="86"/>
      <c r="AR196" s="86"/>
      <c r="AS196" s="86"/>
    </row>
    <row r="197" ht="15.75" customHeight="1">
      <c r="A197" s="8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81"/>
      <c r="R197" s="3"/>
      <c r="S197" s="3"/>
      <c r="T197" s="3"/>
      <c r="U197" s="3"/>
      <c r="V197" s="83"/>
      <c r="W197" s="84"/>
      <c r="X197" s="85"/>
      <c r="Y197" s="85"/>
      <c r="Z197" s="85"/>
      <c r="AA197" s="85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7"/>
      <c r="AO197" s="88"/>
      <c r="AP197" s="86"/>
      <c r="AQ197" s="86"/>
      <c r="AR197" s="86"/>
      <c r="AS197" s="86"/>
    </row>
    <row r="198" ht="15.75" customHeight="1">
      <c r="A198" s="8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81"/>
      <c r="R198" s="3"/>
      <c r="S198" s="3"/>
      <c r="T198" s="3"/>
      <c r="U198" s="3"/>
      <c r="V198" s="83"/>
      <c r="W198" s="84"/>
      <c r="X198" s="85"/>
      <c r="Y198" s="85"/>
      <c r="Z198" s="85"/>
      <c r="AA198" s="85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7"/>
      <c r="AO198" s="88"/>
      <c r="AP198" s="86"/>
      <c r="AQ198" s="86"/>
      <c r="AR198" s="86"/>
      <c r="AS198" s="86"/>
    </row>
    <row r="199" ht="15.75" customHeight="1">
      <c r="A199" s="8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81"/>
      <c r="R199" s="3"/>
      <c r="S199" s="3"/>
      <c r="T199" s="3"/>
      <c r="U199" s="3"/>
      <c r="V199" s="83"/>
      <c r="W199" s="84"/>
      <c r="X199" s="85"/>
      <c r="Y199" s="85"/>
      <c r="Z199" s="85"/>
      <c r="AA199" s="85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7"/>
      <c r="AO199" s="88"/>
      <c r="AP199" s="86"/>
      <c r="AQ199" s="86"/>
      <c r="AR199" s="86"/>
      <c r="AS199" s="86"/>
    </row>
    <row r="200" ht="15.75" customHeight="1">
      <c r="A200" s="8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81"/>
      <c r="R200" s="3"/>
      <c r="S200" s="3"/>
      <c r="T200" s="3"/>
      <c r="U200" s="3"/>
      <c r="V200" s="83"/>
      <c r="W200" s="84"/>
      <c r="X200" s="85"/>
      <c r="Y200" s="85"/>
      <c r="Z200" s="85"/>
      <c r="AA200" s="85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7"/>
      <c r="AO200" s="88"/>
      <c r="AP200" s="86"/>
      <c r="AQ200" s="86"/>
      <c r="AR200" s="86"/>
      <c r="AS200" s="86"/>
    </row>
    <row r="201" ht="15.75" customHeight="1">
      <c r="A201" s="8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81"/>
      <c r="R201" s="3"/>
      <c r="S201" s="3"/>
      <c r="T201" s="3"/>
      <c r="U201" s="3"/>
      <c r="V201" s="83"/>
      <c r="W201" s="84"/>
      <c r="X201" s="85"/>
      <c r="Y201" s="85"/>
      <c r="Z201" s="85"/>
      <c r="AA201" s="85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7"/>
      <c r="AO201" s="88"/>
      <c r="AP201" s="86"/>
      <c r="AQ201" s="86"/>
      <c r="AR201" s="86"/>
      <c r="AS201" s="86"/>
    </row>
    <row r="202" ht="15.75" customHeight="1">
      <c r="A202" s="8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81"/>
      <c r="R202" s="3"/>
      <c r="S202" s="3"/>
      <c r="T202" s="3"/>
      <c r="U202" s="3"/>
      <c r="V202" s="83"/>
      <c r="W202" s="84"/>
      <c r="X202" s="85"/>
      <c r="Y202" s="85"/>
      <c r="Z202" s="85"/>
      <c r="AA202" s="85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7"/>
      <c r="AO202" s="88"/>
      <c r="AP202" s="86"/>
      <c r="AQ202" s="86"/>
      <c r="AR202" s="86"/>
      <c r="AS202" s="86"/>
    </row>
    <row r="203" ht="15.75" customHeight="1">
      <c r="A203" s="8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81"/>
      <c r="R203" s="3"/>
      <c r="S203" s="3"/>
      <c r="T203" s="3"/>
      <c r="U203" s="3"/>
      <c r="V203" s="83"/>
      <c r="W203" s="84"/>
      <c r="X203" s="85"/>
      <c r="Y203" s="85"/>
      <c r="Z203" s="85"/>
      <c r="AA203" s="85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7"/>
      <c r="AO203" s="88"/>
      <c r="AP203" s="86"/>
      <c r="AQ203" s="86"/>
      <c r="AR203" s="86"/>
      <c r="AS203" s="86"/>
    </row>
    <row r="204" ht="15.75" customHeight="1">
      <c r="A204" s="8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81"/>
      <c r="R204" s="3"/>
      <c r="S204" s="3"/>
      <c r="T204" s="3"/>
      <c r="U204" s="3"/>
      <c r="V204" s="83"/>
      <c r="W204" s="84"/>
      <c r="X204" s="85"/>
      <c r="Y204" s="85"/>
      <c r="Z204" s="85"/>
      <c r="AA204" s="85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7"/>
      <c r="AO204" s="88"/>
      <c r="AP204" s="86"/>
      <c r="AQ204" s="86"/>
      <c r="AR204" s="86"/>
      <c r="AS204" s="86"/>
    </row>
    <row r="205" ht="15.75" customHeight="1">
      <c r="A205" s="8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81"/>
      <c r="R205" s="3"/>
      <c r="S205" s="3"/>
      <c r="T205" s="3"/>
      <c r="U205" s="3"/>
      <c r="V205" s="83"/>
      <c r="W205" s="84"/>
      <c r="X205" s="85"/>
      <c r="Y205" s="85"/>
      <c r="Z205" s="85"/>
      <c r="AA205" s="85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7"/>
      <c r="AO205" s="88"/>
      <c r="AP205" s="86"/>
      <c r="AQ205" s="86"/>
      <c r="AR205" s="86"/>
      <c r="AS205" s="86"/>
    </row>
    <row r="206" ht="15.75" customHeight="1">
      <c r="A206" s="8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81"/>
      <c r="R206" s="3"/>
      <c r="S206" s="3"/>
      <c r="T206" s="3"/>
      <c r="U206" s="3"/>
      <c r="V206" s="83"/>
      <c r="W206" s="84"/>
      <c r="X206" s="85"/>
      <c r="Y206" s="85"/>
      <c r="Z206" s="85"/>
      <c r="AA206" s="85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7"/>
      <c r="AO206" s="88"/>
      <c r="AP206" s="86"/>
      <c r="AQ206" s="86"/>
      <c r="AR206" s="86"/>
      <c r="AS206" s="86"/>
    </row>
    <row r="207" ht="15.75" customHeight="1">
      <c r="A207" s="8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81"/>
      <c r="R207" s="3"/>
      <c r="S207" s="3"/>
      <c r="T207" s="3"/>
      <c r="U207" s="3"/>
      <c r="V207" s="83"/>
      <c r="W207" s="84"/>
      <c r="X207" s="85"/>
      <c r="Y207" s="85"/>
      <c r="Z207" s="85"/>
      <c r="AA207" s="85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7"/>
      <c r="AO207" s="88"/>
      <c r="AP207" s="86"/>
      <c r="AQ207" s="86"/>
      <c r="AR207" s="86"/>
      <c r="AS207" s="86"/>
    </row>
    <row r="208" ht="15.75" customHeight="1">
      <c r="A208" s="8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81"/>
      <c r="R208" s="3"/>
      <c r="S208" s="3"/>
      <c r="T208" s="3"/>
      <c r="U208" s="3"/>
      <c r="V208" s="83"/>
      <c r="W208" s="84"/>
      <c r="X208" s="85"/>
      <c r="Y208" s="85"/>
      <c r="Z208" s="85"/>
      <c r="AA208" s="85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7"/>
      <c r="AO208" s="88"/>
      <c r="AP208" s="86"/>
      <c r="AQ208" s="86"/>
      <c r="AR208" s="86"/>
      <c r="AS208" s="86"/>
    </row>
    <row r="209" ht="15.75" customHeight="1">
      <c r="A209" s="8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81"/>
      <c r="R209" s="3"/>
      <c r="S209" s="3"/>
      <c r="T209" s="3"/>
      <c r="U209" s="3"/>
      <c r="V209" s="83"/>
      <c r="W209" s="84"/>
      <c r="X209" s="85"/>
      <c r="Y209" s="85"/>
      <c r="Z209" s="85"/>
      <c r="AA209" s="85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7"/>
      <c r="AO209" s="88"/>
      <c r="AP209" s="86"/>
      <c r="AQ209" s="86"/>
      <c r="AR209" s="86"/>
      <c r="AS209" s="86"/>
    </row>
    <row r="210" ht="15.75" customHeight="1">
      <c r="A210" s="8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81"/>
      <c r="R210" s="3"/>
      <c r="S210" s="3"/>
      <c r="T210" s="3"/>
      <c r="U210" s="3"/>
      <c r="V210" s="83"/>
      <c r="W210" s="84"/>
      <c r="X210" s="85"/>
      <c r="Y210" s="85"/>
      <c r="Z210" s="85"/>
      <c r="AA210" s="85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7"/>
      <c r="AO210" s="88"/>
      <c r="AP210" s="86"/>
      <c r="AQ210" s="86"/>
      <c r="AR210" s="86"/>
      <c r="AS210" s="86"/>
    </row>
    <row r="211" ht="15.75" customHeight="1">
      <c r="A211" s="8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81"/>
      <c r="R211" s="3"/>
      <c r="S211" s="3"/>
      <c r="T211" s="3"/>
      <c r="U211" s="3"/>
      <c r="V211" s="83"/>
      <c r="W211" s="84"/>
      <c r="X211" s="85"/>
      <c r="Y211" s="85"/>
      <c r="Z211" s="85"/>
      <c r="AA211" s="85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7"/>
      <c r="AO211" s="88"/>
      <c r="AP211" s="86"/>
      <c r="AQ211" s="86"/>
      <c r="AR211" s="86"/>
      <c r="AS211" s="86"/>
    </row>
    <row r="212" ht="15.75" customHeight="1">
      <c r="A212" s="8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81"/>
      <c r="R212" s="3"/>
      <c r="S212" s="3"/>
      <c r="T212" s="3"/>
      <c r="U212" s="3"/>
      <c r="V212" s="83"/>
      <c r="W212" s="84"/>
      <c r="X212" s="85"/>
      <c r="Y212" s="85"/>
      <c r="Z212" s="85"/>
      <c r="AA212" s="85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7"/>
      <c r="AO212" s="88"/>
      <c r="AP212" s="86"/>
      <c r="AQ212" s="86"/>
      <c r="AR212" s="86"/>
      <c r="AS212" s="86"/>
    </row>
    <row r="213" ht="15.75" customHeight="1">
      <c r="A213" s="8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81"/>
      <c r="R213" s="3"/>
      <c r="S213" s="3"/>
      <c r="T213" s="3"/>
      <c r="U213" s="3"/>
      <c r="V213" s="83"/>
      <c r="W213" s="84"/>
      <c r="X213" s="85"/>
      <c r="Y213" s="85"/>
      <c r="Z213" s="85"/>
      <c r="AA213" s="85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7"/>
      <c r="AO213" s="88"/>
      <c r="AP213" s="86"/>
      <c r="AQ213" s="86"/>
      <c r="AR213" s="86"/>
      <c r="AS213" s="86"/>
    </row>
    <row r="214" ht="15.75" customHeight="1">
      <c r="A214" s="8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81"/>
      <c r="R214" s="3"/>
      <c r="S214" s="3"/>
      <c r="T214" s="3"/>
      <c r="U214" s="3"/>
      <c r="V214" s="83"/>
      <c r="W214" s="84"/>
      <c r="X214" s="85"/>
      <c r="Y214" s="85"/>
      <c r="Z214" s="85"/>
      <c r="AA214" s="85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7"/>
      <c r="AO214" s="88"/>
      <c r="AP214" s="86"/>
      <c r="AQ214" s="86"/>
      <c r="AR214" s="86"/>
      <c r="AS214" s="86"/>
    </row>
    <row r="215" ht="15.75" customHeight="1">
      <c r="A215" s="8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81"/>
      <c r="R215" s="3"/>
      <c r="S215" s="3"/>
      <c r="T215" s="3"/>
      <c r="U215" s="3"/>
      <c r="V215" s="83"/>
      <c r="W215" s="84"/>
      <c r="X215" s="85"/>
      <c r="Y215" s="85"/>
      <c r="Z215" s="85"/>
      <c r="AA215" s="85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7"/>
      <c r="AO215" s="88"/>
      <c r="AP215" s="86"/>
      <c r="AQ215" s="86"/>
      <c r="AR215" s="86"/>
      <c r="AS215" s="86"/>
    </row>
    <row r="216" ht="15.75" customHeight="1">
      <c r="A216" s="8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81"/>
      <c r="R216" s="3"/>
      <c r="S216" s="3"/>
      <c r="T216" s="3"/>
      <c r="U216" s="3"/>
      <c r="V216" s="83"/>
      <c r="W216" s="84"/>
      <c r="X216" s="85"/>
      <c r="Y216" s="85"/>
      <c r="Z216" s="85"/>
      <c r="AA216" s="85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7"/>
      <c r="AO216" s="88"/>
      <c r="AP216" s="86"/>
      <c r="AQ216" s="86"/>
      <c r="AR216" s="86"/>
      <c r="AS216" s="86"/>
    </row>
    <row r="217" ht="15.75" customHeight="1">
      <c r="A217" s="8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81"/>
      <c r="R217" s="3"/>
      <c r="S217" s="3"/>
      <c r="T217" s="3"/>
      <c r="U217" s="3"/>
      <c r="V217" s="83"/>
      <c r="W217" s="84"/>
      <c r="X217" s="85"/>
      <c r="Y217" s="85"/>
      <c r="Z217" s="85"/>
      <c r="AA217" s="85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7"/>
      <c r="AO217" s="88"/>
      <c r="AP217" s="86"/>
      <c r="AQ217" s="86"/>
      <c r="AR217" s="86"/>
      <c r="AS217" s="86"/>
    </row>
    <row r="218" ht="15.75" customHeight="1">
      <c r="A218" s="8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81"/>
      <c r="R218" s="3"/>
      <c r="S218" s="3"/>
      <c r="T218" s="3"/>
      <c r="U218" s="3"/>
      <c r="V218" s="83"/>
      <c r="W218" s="84"/>
      <c r="X218" s="85"/>
      <c r="Y218" s="85"/>
      <c r="Z218" s="85"/>
      <c r="AA218" s="85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7"/>
      <c r="AO218" s="88"/>
      <c r="AP218" s="86"/>
      <c r="AQ218" s="86"/>
      <c r="AR218" s="86"/>
      <c r="AS218" s="86"/>
    </row>
    <row r="219" ht="15.75" customHeight="1">
      <c r="A219" s="8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81"/>
      <c r="R219" s="3"/>
      <c r="S219" s="3"/>
      <c r="T219" s="3"/>
      <c r="U219" s="3"/>
      <c r="V219" s="83"/>
      <c r="W219" s="84"/>
      <c r="X219" s="85"/>
      <c r="Y219" s="85"/>
      <c r="Z219" s="85"/>
      <c r="AA219" s="85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7"/>
      <c r="AO219" s="88"/>
      <c r="AP219" s="86"/>
      <c r="AQ219" s="86"/>
      <c r="AR219" s="86"/>
      <c r="AS219" s="86"/>
    </row>
    <row r="220" ht="15.75" customHeight="1">
      <c r="A220" s="8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81"/>
      <c r="R220" s="3"/>
      <c r="S220" s="3"/>
      <c r="T220" s="3"/>
      <c r="U220" s="3"/>
      <c r="V220" s="83"/>
      <c r="W220" s="84"/>
      <c r="X220" s="89"/>
      <c r="Y220" s="89"/>
      <c r="Z220" s="89"/>
      <c r="AA220" s="85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7"/>
      <c r="AO220" s="88"/>
      <c r="AP220" s="86"/>
      <c r="AQ220" s="86"/>
      <c r="AR220" s="86"/>
      <c r="AS220" s="86"/>
    </row>
    <row r="221" ht="15.75" customHeight="1">
      <c r="A221" s="8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81"/>
      <c r="R221" s="3"/>
      <c r="S221" s="3"/>
      <c r="T221" s="3"/>
      <c r="U221" s="3"/>
      <c r="V221" s="83"/>
      <c r="W221" s="84"/>
      <c r="X221" s="89"/>
      <c r="Y221" s="89"/>
      <c r="Z221" s="89"/>
      <c r="AA221" s="85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7"/>
      <c r="AO221" s="88"/>
      <c r="AP221" s="86"/>
      <c r="AQ221" s="86"/>
      <c r="AR221" s="86"/>
      <c r="AS221" s="86"/>
    </row>
    <row r="222" ht="15.75" customHeight="1">
      <c r="A222" s="8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81"/>
      <c r="R222" s="3"/>
      <c r="S222" s="3"/>
      <c r="T222" s="3"/>
      <c r="U222" s="3"/>
      <c r="V222" s="83"/>
      <c r="W222" s="84"/>
      <c r="X222" s="89"/>
      <c r="Y222" s="89"/>
      <c r="Z222" s="89"/>
      <c r="AA222" s="85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7"/>
      <c r="AO222" s="88"/>
      <c r="AP222" s="86"/>
      <c r="AQ222" s="86"/>
      <c r="AR222" s="86"/>
      <c r="AS222" s="86"/>
    </row>
    <row r="223" ht="15.75" customHeight="1">
      <c r="A223" s="8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81"/>
      <c r="R223" s="3"/>
      <c r="S223" s="3"/>
      <c r="T223" s="3"/>
      <c r="U223" s="3"/>
      <c r="V223" s="83"/>
      <c r="W223" s="84"/>
      <c r="X223" s="89"/>
      <c r="Y223" s="89"/>
      <c r="Z223" s="89"/>
      <c r="AA223" s="85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7"/>
      <c r="AO223" s="88"/>
      <c r="AP223" s="86"/>
      <c r="AQ223" s="86"/>
      <c r="AR223" s="86"/>
      <c r="AS223" s="86"/>
    </row>
    <row r="224" ht="15.75" customHeight="1">
      <c r="A224" s="8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81"/>
      <c r="R224" s="3"/>
      <c r="S224" s="3"/>
      <c r="T224" s="3"/>
      <c r="U224" s="3"/>
      <c r="V224" s="83"/>
      <c r="W224" s="84"/>
      <c r="X224" s="89"/>
      <c r="Y224" s="89"/>
      <c r="Z224" s="89"/>
      <c r="AA224" s="85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7"/>
      <c r="AO224" s="88"/>
      <c r="AP224" s="86"/>
      <c r="AQ224" s="86"/>
      <c r="AR224" s="86"/>
      <c r="AS224" s="86"/>
    </row>
    <row r="225" ht="15.75" customHeight="1">
      <c r="A225" s="8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81"/>
      <c r="R225" s="3"/>
      <c r="S225" s="3"/>
      <c r="T225" s="3"/>
      <c r="U225" s="3"/>
      <c r="V225" s="83"/>
      <c r="W225" s="84"/>
      <c r="X225" s="89"/>
      <c r="Y225" s="89"/>
      <c r="Z225" s="89"/>
      <c r="AA225" s="85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7"/>
      <c r="AO225" s="88"/>
      <c r="AP225" s="86"/>
      <c r="AQ225" s="86"/>
      <c r="AR225" s="86"/>
      <c r="AS225" s="86"/>
    </row>
    <row r="226" ht="15.75" customHeight="1">
      <c r="A226" s="8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81"/>
      <c r="R226" s="3"/>
      <c r="S226" s="3"/>
      <c r="T226" s="3"/>
      <c r="U226" s="3"/>
      <c r="V226" s="83"/>
      <c r="W226" s="84"/>
      <c r="X226" s="89"/>
      <c r="Y226" s="89"/>
      <c r="Z226" s="89"/>
      <c r="AA226" s="85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7"/>
      <c r="AO226" s="88"/>
      <c r="AP226" s="86"/>
      <c r="AQ226" s="86"/>
      <c r="AR226" s="86"/>
      <c r="AS226" s="86"/>
    </row>
    <row r="227" ht="15.75" customHeight="1">
      <c r="A227" s="8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81"/>
      <c r="R227" s="3"/>
      <c r="S227" s="3"/>
      <c r="T227" s="3"/>
      <c r="U227" s="3"/>
      <c r="V227" s="83"/>
      <c r="W227" s="84"/>
      <c r="X227" s="89"/>
      <c r="Y227" s="89"/>
      <c r="Z227" s="89"/>
      <c r="AA227" s="85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7"/>
      <c r="AO227" s="88"/>
      <c r="AP227" s="86"/>
      <c r="AQ227" s="86"/>
      <c r="AR227" s="86"/>
      <c r="AS227" s="86"/>
    </row>
    <row r="228" ht="15.75" customHeight="1">
      <c r="A228" s="8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81"/>
      <c r="R228" s="3"/>
      <c r="S228" s="3"/>
      <c r="T228" s="3"/>
      <c r="U228" s="3"/>
      <c r="V228" s="83"/>
      <c r="W228" s="84"/>
      <c r="X228" s="89"/>
      <c r="Y228" s="89"/>
      <c r="Z228" s="89"/>
      <c r="AA228" s="85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7"/>
      <c r="AO228" s="88"/>
      <c r="AP228" s="86"/>
      <c r="AQ228" s="86"/>
      <c r="AR228" s="86"/>
      <c r="AS228" s="86"/>
    </row>
    <row r="229" ht="15.75" customHeight="1">
      <c r="A229" s="90"/>
      <c r="AN229" s="91"/>
      <c r="AO229" s="92"/>
    </row>
    <row r="230" ht="15.75" customHeight="1">
      <c r="A230" s="90"/>
      <c r="AN230" s="91"/>
      <c r="AO230" s="92"/>
    </row>
    <row r="231" ht="15.75" customHeight="1">
      <c r="A231" s="90"/>
      <c r="AN231" s="91"/>
      <c r="AO231" s="92"/>
    </row>
    <row r="232" ht="15.75" customHeight="1">
      <c r="A232" s="90"/>
      <c r="AN232" s="91"/>
      <c r="AO232" s="92"/>
    </row>
    <row r="233" ht="15.75" customHeight="1">
      <c r="A233" s="90"/>
      <c r="AN233" s="91"/>
      <c r="AO233" s="92"/>
    </row>
    <row r="234" ht="15.75" customHeight="1">
      <c r="A234" s="90"/>
      <c r="AN234" s="91"/>
      <c r="AO234" s="92"/>
    </row>
    <row r="235" ht="15.75" customHeight="1">
      <c r="A235" s="90"/>
      <c r="AN235" s="91"/>
      <c r="AO235" s="92"/>
    </row>
    <row r="236" ht="15.75" customHeight="1">
      <c r="A236" s="90"/>
      <c r="AN236" s="91"/>
      <c r="AO236" s="92"/>
    </row>
    <row r="237" ht="15.75" customHeight="1">
      <c r="A237" s="90"/>
      <c r="AN237" s="91"/>
      <c r="AO237" s="92"/>
    </row>
    <row r="238" ht="15.75" customHeight="1">
      <c r="A238" s="90"/>
      <c r="AN238" s="91"/>
      <c r="AO238" s="92"/>
    </row>
    <row r="239" ht="15.75" customHeight="1">
      <c r="A239" s="90"/>
      <c r="AN239" s="91"/>
      <c r="AO239" s="92"/>
    </row>
    <row r="240" ht="15.75" customHeight="1">
      <c r="A240" s="90"/>
      <c r="AN240" s="91"/>
      <c r="AO240" s="92"/>
    </row>
    <row r="241" ht="15.75" customHeight="1">
      <c r="A241" s="90"/>
      <c r="AN241" s="91"/>
      <c r="AO241" s="92"/>
    </row>
    <row r="242" ht="15.75" customHeight="1">
      <c r="A242" s="90"/>
      <c r="AN242" s="91"/>
      <c r="AO242" s="92"/>
    </row>
    <row r="243" ht="15.75" customHeight="1">
      <c r="A243" s="90"/>
      <c r="AN243" s="91"/>
      <c r="AO243" s="92"/>
    </row>
    <row r="244" ht="15.75" customHeight="1">
      <c r="A244" s="90"/>
      <c r="AN244" s="91"/>
      <c r="AO244" s="92"/>
    </row>
    <row r="245" ht="15.75" customHeight="1">
      <c r="A245" s="90"/>
      <c r="AN245" s="91"/>
      <c r="AO245" s="92"/>
    </row>
    <row r="246" ht="15.75" customHeight="1">
      <c r="A246" s="90"/>
      <c r="AN246" s="91"/>
      <c r="AO246" s="92"/>
    </row>
    <row r="247" ht="15.75" customHeight="1">
      <c r="A247" s="90"/>
      <c r="AN247" s="91"/>
      <c r="AO247" s="92"/>
    </row>
    <row r="248" ht="15.75" customHeight="1">
      <c r="A248" s="90"/>
      <c r="AN248" s="91"/>
      <c r="AO248" s="92"/>
    </row>
    <row r="249" ht="15.75" customHeight="1">
      <c r="A249" s="90"/>
      <c r="AN249" s="91"/>
      <c r="AO249" s="92"/>
    </row>
    <row r="250" ht="15.75" customHeight="1">
      <c r="A250" s="90"/>
      <c r="AN250" s="91"/>
      <c r="AO250" s="92"/>
    </row>
    <row r="251" ht="15.75" customHeight="1">
      <c r="A251" s="90"/>
      <c r="AN251" s="91"/>
      <c r="AO251" s="92"/>
    </row>
    <row r="252" ht="15.75" customHeight="1">
      <c r="A252" s="90"/>
      <c r="AN252" s="91"/>
      <c r="AO252" s="92"/>
    </row>
    <row r="253" ht="15.75" customHeight="1">
      <c r="A253" s="90"/>
      <c r="AN253" s="91"/>
      <c r="AO253" s="92"/>
    </row>
    <row r="254" ht="15.75" customHeight="1">
      <c r="A254" s="90"/>
      <c r="AN254" s="91"/>
      <c r="AO254" s="92"/>
    </row>
    <row r="255" ht="15.75" customHeight="1">
      <c r="A255" s="90"/>
      <c r="AN255" s="91"/>
      <c r="AO255" s="92"/>
    </row>
    <row r="256" ht="15.75" customHeight="1">
      <c r="A256" s="90"/>
      <c r="AN256" s="91"/>
      <c r="AO256" s="92"/>
    </row>
    <row r="257" ht="15.75" customHeight="1">
      <c r="A257" s="90"/>
      <c r="AN257" s="91"/>
      <c r="AO257" s="92"/>
    </row>
    <row r="258" ht="15.75" customHeight="1">
      <c r="A258" s="90"/>
      <c r="AN258" s="91"/>
      <c r="AO258" s="92"/>
    </row>
    <row r="259" ht="15.75" customHeight="1">
      <c r="A259" s="90"/>
      <c r="AN259" s="91"/>
      <c r="AO259" s="92"/>
    </row>
    <row r="260" ht="15.75" customHeight="1">
      <c r="A260" s="90"/>
      <c r="AN260" s="91"/>
      <c r="AO260" s="92"/>
    </row>
    <row r="261" ht="15.75" customHeight="1">
      <c r="A261" s="90"/>
      <c r="AN261" s="91"/>
      <c r="AO261" s="92"/>
    </row>
    <row r="262" ht="15.75" customHeight="1">
      <c r="A262" s="90"/>
      <c r="AN262" s="91"/>
      <c r="AO262" s="92"/>
    </row>
    <row r="263" ht="15.75" customHeight="1">
      <c r="A263" s="90"/>
      <c r="AN263" s="91"/>
      <c r="AO263" s="92"/>
    </row>
    <row r="264" ht="15.75" customHeight="1">
      <c r="A264" s="90"/>
      <c r="AN264" s="91"/>
      <c r="AO264" s="92"/>
    </row>
    <row r="265" ht="15.75" customHeight="1">
      <c r="A265" s="90"/>
      <c r="AN265" s="91"/>
      <c r="AO265" s="92"/>
    </row>
    <row r="266" ht="15.75" customHeight="1">
      <c r="A266" s="90"/>
      <c r="AN266" s="91"/>
      <c r="AO266" s="92"/>
    </row>
    <row r="267" ht="15.75" customHeight="1">
      <c r="A267" s="90"/>
      <c r="AN267" s="91"/>
      <c r="AO267" s="92"/>
    </row>
    <row r="268" ht="15.75" customHeight="1">
      <c r="A268" s="90"/>
      <c r="AN268" s="91"/>
      <c r="AO268" s="92"/>
    </row>
    <row r="269" ht="15.75" customHeight="1">
      <c r="A269" s="90"/>
      <c r="AN269" s="91"/>
      <c r="AO269" s="92"/>
    </row>
    <row r="270" ht="15.75" customHeight="1">
      <c r="A270" s="90"/>
      <c r="AN270" s="91"/>
      <c r="AO270" s="92"/>
    </row>
    <row r="271" ht="15.75" customHeight="1">
      <c r="A271" s="90"/>
      <c r="AN271" s="91"/>
      <c r="AO271" s="92"/>
    </row>
    <row r="272" ht="15.75" customHeight="1">
      <c r="A272" s="90"/>
      <c r="AN272" s="91"/>
      <c r="AO272" s="92"/>
    </row>
    <row r="273" ht="15.75" customHeight="1">
      <c r="A273" s="90"/>
      <c r="AN273" s="91"/>
      <c r="AO273" s="92"/>
    </row>
    <row r="274" ht="15.75" customHeight="1">
      <c r="A274" s="90"/>
      <c r="AN274" s="91"/>
      <c r="AO274" s="92"/>
    </row>
    <row r="275" ht="15.75" customHeight="1">
      <c r="A275" s="90"/>
      <c r="AN275" s="91"/>
      <c r="AO275" s="92"/>
    </row>
    <row r="276" ht="15.75" customHeight="1">
      <c r="A276" s="90"/>
      <c r="AN276" s="91"/>
      <c r="AO276" s="92"/>
    </row>
    <row r="277" ht="15.75" customHeight="1">
      <c r="A277" s="90"/>
      <c r="AN277" s="91"/>
      <c r="AO277" s="92"/>
    </row>
    <row r="278" ht="15.75" customHeight="1">
      <c r="A278" s="90"/>
      <c r="AN278" s="91"/>
      <c r="AO278" s="92"/>
    </row>
    <row r="279" ht="15.75" customHeight="1">
      <c r="A279" s="90"/>
      <c r="AN279" s="91"/>
      <c r="AO279" s="92"/>
    </row>
    <row r="280" ht="15.75" customHeight="1">
      <c r="A280" s="90"/>
      <c r="AN280" s="91"/>
      <c r="AO280" s="92"/>
    </row>
    <row r="281" ht="15.75" customHeight="1">
      <c r="A281" s="90"/>
      <c r="AN281" s="91"/>
      <c r="AO281" s="92"/>
    </row>
    <row r="282" ht="15.75" customHeight="1">
      <c r="A282" s="90"/>
      <c r="AN282" s="91"/>
      <c r="AO282" s="92"/>
    </row>
    <row r="283" ht="15.75" customHeight="1">
      <c r="A283" s="90"/>
      <c r="AN283" s="91"/>
      <c r="AO283" s="92"/>
    </row>
    <row r="284" ht="15.75" customHeight="1">
      <c r="A284" s="90"/>
      <c r="AN284" s="91"/>
      <c r="AO284" s="92"/>
    </row>
    <row r="285" ht="15.75" customHeight="1">
      <c r="A285" s="90"/>
      <c r="AN285" s="91"/>
      <c r="AO285" s="92"/>
    </row>
    <row r="286" ht="15.75" customHeight="1">
      <c r="A286" s="90"/>
      <c r="AN286" s="91"/>
      <c r="AO286" s="92"/>
    </row>
    <row r="287" ht="15.75" customHeight="1">
      <c r="A287" s="90"/>
      <c r="AN287" s="91"/>
      <c r="AO287" s="92"/>
    </row>
    <row r="288" ht="15.75" customHeight="1">
      <c r="A288" s="90"/>
      <c r="AN288" s="91"/>
      <c r="AO288" s="92"/>
    </row>
    <row r="289" ht="15.75" customHeight="1">
      <c r="A289" s="90"/>
      <c r="AN289" s="91"/>
      <c r="AO289" s="92"/>
    </row>
    <row r="290" ht="15.75" customHeight="1">
      <c r="A290" s="90"/>
      <c r="AN290" s="91"/>
      <c r="AO290" s="92"/>
    </row>
    <row r="291" ht="15.75" customHeight="1">
      <c r="A291" s="90"/>
      <c r="AN291" s="91"/>
      <c r="AO291" s="92"/>
    </row>
    <row r="292" ht="15.75" customHeight="1">
      <c r="A292" s="90"/>
      <c r="AN292" s="91"/>
      <c r="AO292" s="92"/>
    </row>
    <row r="293" ht="15.75" customHeight="1">
      <c r="A293" s="90"/>
      <c r="AN293" s="91"/>
      <c r="AO293" s="92"/>
    </row>
    <row r="294" ht="15.75" customHeight="1">
      <c r="A294" s="90"/>
      <c r="AN294" s="91"/>
      <c r="AO294" s="92"/>
    </row>
    <row r="295" ht="15.75" customHeight="1">
      <c r="A295" s="90"/>
      <c r="AN295" s="91"/>
      <c r="AO295" s="92"/>
    </row>
    <row r="296" ht="15.75" customHeight="1">
      <c r="A296" s="90"/>
      <c r="AN296" s="91"/>
      <c r="AO296" s="92"/>
    </row>
    <row r="297" ht="15.75" customHeight="1">
      <c r="A297" s="90"/>
      <c r="AN297" s="91"/>
      <c r="AO297" s="92"/>
    </row>
    <row r="298" ht="15.75" customHeight="1">
      <c r="A298" s="90"/>
      <c r="AN298" s="91"/>
      <c r="AO298" s="92"/>
    </row>
    <row r="299" ht="15.75" customHeight="1">
      <c r="A299" s="90"/>
      <c r="AN299" s="91"/>
      <c r="AO299" s="92"/>
    </row>
    <row r="300" ht="15.75" customHeight="1">
      <c r="A300" s="90"/>
      <c r="AN300" s="91"/>
      <c r="AO300" s="92"/>
    </row>
    <row r="301" ht="15.75" customHeight="1">
      <c r="A301" s="90"/>
      <c r="AN301" s="91"/>
      <c r="AO301" s="92"/>
    </row>
    <row r="302" ht="15.75" customHeight="1">
      <c r="A302" s="90"/>
      <c r="AN302" s="91"/>
      <c r="AO302" s="92"/>
    </row>
    <row r="303" ht="15.75" customHeight="1">
      <c r="A303" s="90"/>
      <c r="AN303" s="91"/>
      <c r="AO303" s="92"/>
    </row>
    <row r="304" ht="15.75" customHeight="1">
      <c r="A304" s="90"/>
      <c r="AN304" s="91"/>
      <c r="AO304" s="92"/>
    </row>
    <row r="305" ht="15.75" customHeight="1">
      <c r="A305" s="90"/>
      <c r="AN305" s="91"/>
      <c r="AO305" s="92"/>
    </row>
    <row r="306" ht="15.75" customHeight="1">
      <c r="A306" s="90"/>
      <c r="AN306" s="91"/>
      <c r="AO306" s="92"/>
    </row>
    <row r="307" ht="15.75" customHeight="1">
      <c r="A307" s="90"/>
      <c r="AN307" s="91"/>
      <c r="AO307" s="92"/>
    </row>
    <row r="308" ht="15.75" customHeight="1">
      <c r="A308" s="90"/>
      <c r="AN308" s="91"/>
      <c r="AO308" s="92"/>
    </row>
    <row r="309" ht="15.75" customHeight="1">
      <c r="A309" s="90"/>
      <c r="AN309" s="91"/>
      <c r="AO309" s="92"/>
    </row>
    <row r="310" ht="15.75" customHeight="1">
      <c r="A310" s="90"/>
      <c r="AN310" s="91"/>
      <c r="AO310" s="92"/>
    </row>
    <row r="311" ht="15.75" customHeight="1">
      <c r="A311" s="90"/>
      <c r="AN311" s="91"/>
      <c r="AO311" s="92"/>
    </row>
    <row r="312" ht="15.75" customHeight="1">
      <c r="A312" s="90"/>
      <c r="AN312" s="91"/>
      <c r="AO312" s="92"/>
    </row>
    <row r="313" ht="15.75" customHeight="1">
      <c r="A313" s="90"/>
      <c r="AN313" s="91"/>
      <c r="AO313" s="92"/>
    </row>
    <row r="314" ht="15.75" customHeight="1">
      <c r="A314" s="90"/>
      <c r="AN314" s="91"/>
      <c r="AO314" s="92"/>
    </row>
    <row r="315" ht="15.75" customHeight="1">
      <c r="A315" s="90"/>
      <c r="AN315" s="91"/>
      <c r="AO315" s="92"/>
    </row>
    <row r="316" ht="15.75" customHeight="1">
      <c r="A316" s="90"/>
      <c r="AN316" s="91"/>
      <c r="AO316" s="92"/>
    </row>
    <row r="317" ht="15.75" customHeight="1">
      <c r="A317" s="90"/>
      <c r="AN317" s="91"/>
      <c r="AO317" s="92"/>
    </row>
    <row r="318" ht="15.75" customHeight="1">
      <c r="A318" s="90"/>
      <c r="AN318" s="91"/>
      <c r="AO318" s="92"/>
    </row>
    <row r="319" ht="15.75" customHeight="1">
      <c r="A319" s="90"/>
      <c r="AN319" s="91"/>
      <c r="AO319" s="92"/>
    </row>
    <row r="320" ht="15.75" customHeight="1">
      <c r="A320" s="90"/>
      <c r="AN320" s="91"/>
      <c r="AO320" s="92"/>
    </row>
    <row r="321" ht="15.75" customHeight="1">
      <c r="A321" s="90"/>
      <c r="AN321" s="91"/>
      <c r="AO321" s="92"/>
    </row>
    <row r="322" ht="15.75" customHeight="1">
      <c r="A322" s="90"/>
      <c r="AN322" s="91"/>
      <c r="AO322" s="92"/>
    </row>
    <row r="323" ht="15.75" customHeight="1">
      <c r="A323" s="90"/>
      <c r="AN323" s="91"/>
      <c r="AO323" s="92"/>
    </row>
    <row r="324" ht="15.75" customHeight="1">
      <c r="A324" s="90"/>
      <c r="AN324" s="91"/>
      <c r="AO324" s="92"/>
    </row>
    <row r="325" ht="15.75" customHeight="1">
      <c r="A325" s="90"/>
      <c r="AN325" s="91"/>
      <c r="AO325" s="92"/>
    </row>
    <row r="326" ht="15.75" customHeight="1">
      <c r="A326" s="90"/>
      <c r="AN326" s="91"/>
      <c r="AO326" s="92"/>
    </row>
    <row r="327" ht="15.75" customHeight="1">
      <c r="A327" s="90"/>
      <c r="AN327" s="91"/>
      <c r="AO327" s="92"/>
    </row>
    <row r="328" ht="15.75" customHeight="1">
      <c r="A328" s="90"/>
      <c r="AN328" s="91"/>
      <c r="AO328" s="92"/>
    </row>
    <row r="329" ht="15.75" customHeight="1">
      <c r="A329" s="90"/>
      <c r="AN329" s="91"/>
      <c r="AO329" s="92"/>
    </row>
    <row r="330" ht="15.75" customHeight="1">
      <c r="A330" s="90"/>
      <c r="AN330" s="91"/>
      <c r="AO330" s="92"/>
    </row>
    <row r="331" ht="15.75" customHeight="1">
      <c r="A331" s="90"/>
      <c r="AN331" s="91"/>
      <c r="AO331" s="92"/>
    </row>
    <row r="332" ht="15.75" customHeight="1">
      <c r="A332" s="90"/>
      <c r="AN332" s="91"/>
      <c r="AO332" s="92"/>
    </row>
    <row r="333" ht="15.75" customHeight="1">
      <c r="A333" s="90"/>
      <c r="AN333" s="91"/>
      <c r="AO333" s="92"/>
    </row>
    <row r="334" ht="15.75" customHeight="1">
      <c r="A334" s="90"/>
      <c r="AN334" s="91"/>
      <c r="AO334" s="92"/>
    </row>
    <row r="335" ht="15.75" customHeight="1">
      <c r="A335" s="90"/>
      <c r="AN335" s="91"/>
      <c r="AO335" s="92"/>
    </row>
    <row r="336" ht="15.75" customHeight="1">
      <c r="A336" s="90"/>
      <c r="AN336" s="91"/>
      <c r="AO336" s="92"/>
    </row>
    <row r="337" ht="15.75" customHeight="1">
      <c r="A337" s="90"/>
      <c r="AN337" s="91"/>
      <c r="AO337" s="92"/>
    </row>
    <row r="338" ht="15.75" customHeight="1">
      <c r="A338" s="90"/>
      <c r="AN338" s="91"/>
      <c r="AO338" s="92"/>
    </row>
    <row r="339" ht="15.75" customHeight="1">
      <c r="A339" s="90"/>
      <c r="AN339" s="91"/>
      <c r="AO339" s="92"/>
    </row>
    <row r="340" ht="15.75" customHeight="1">
      <c r="A340" s="90"/>
      <c r="AN340" s="91"/>
      <c r="AO340" s="92"/>
    </row>
    <row r="341" ht="15.75" customHeight="1">
      <c r="A341" s="90"/>
      <c r="AN341" s="91"/>
      <c r="AO341" s="92"/>
    </row>
    <row r="342" ht="15.75" customHeight="1">
      <c r="A342" s="90"/>
      <c r="AN342" s="91"/>
      <c r="AO342" s="92"/>
    </row>
    <row r="343" ht="15.75" customHeight="1">
      <c r="A343" s="90"/>
      <c r="AN343" s="91"/>
      <c r="AO343" s="92"/>
    </row>
    <row r="344" ht="15.75" customHeight="1">
      <c r="A344" s="90"/>
      <c r="AN344" s="91"/>
      <c r="AO344" s="92"/>
    </row>
    <row r="345" ht="15.75" customHeight="1">
      <c r="A345" s="90"/>
      <c r="AN345" s="91"/>
      <c r="AO345" s="92"/>
    </row>
    <row r="346" ht="15.75" customHeight="1">
      <c r="A346" s="90"/>
      <c r="AN346" s="91"/>
      <c r="AO346" s="92"/>
    </row>
    <row r="347" ht="15.75" customHeight="1">
      <c r="A347" s="90"/>
      <c r="AN347" s="91"/>
      <c r="AO347" s="92"/>
    </row>
    <row r="348" ht="15.75" customHeight="1">
      <c r="A348" s="90"/>
      <c r="AN348" s="91"/>
      <c r="AO348" s="92"/>
    </row>
    <row r="349" ht="15.75" customHeight="1">
      <c r="A349" s="90"/>
      <c r="AN349" s="91"/>
      <c r="AO349" s="92"/>
    </row>
    <row r="350" ht="15.75" customHeight="1">
      <c r="A350" s="90"/>
      <c r="AN350" s="91"/>
      <c r="AO350" s="92"/>
    </row>
    <row r="351" ht="15.75" customHeight="1">
      <c r="A351" s="90"/>
      <c r="AN351" s="91"/>
      <c r="AO351" s="92"/>
    </row>
    <row r="352" ht="15.75" customHeight="1">
      <c r="A352" s="90"/>
      <c r="AN352" s="91"/>
      <c r="AO352" s="92"/>
    </row>
    <row r="353" ht="15.75" customHeight="1">
      <c r="A353" s="90"/>
      <c r="AN353" s="91"/>
      <c r="AO353" s="92"/>
    </row>
    <row r="354" ht="15.75" customHeight="1">
      <c r="A354" s="90"/>
      <c r="AN354" s="91"/>
      <c r="AO354" s="92"/>
    </row>
    <row r="355" ht="15.75" customHeight="1">
      <c r="A355" s="90"/>
      <c r="AN355" s="91"/>
      <c r="AO355" s="92"/>
    </row>
    <row r="356" ht="15.75" customHeight="1">
      <c r="A356" s="90"/>
      <c r="AN356" s="91"/>
      <c r="AO356" s="92"/>
    </row>
    <row r="357" ht="15.75" customHeight="1">
      <c r="A357" s="90"/>
      <c r="AN357" s="91"/>
      <c r="AO357" s="92"/>
    </row>
    <row r="358" ht="15.75" customHeight="1">
      <c r="A358" s="90"/>
      <c r="AN358" s="91"/>
      <c r="AO358" s="92"/>
    </row>
    <row r="359" ht="15.75" customHeight="1">
      <c r="A359" s="90"/>
      <c r="AN359" s="91"/>
      <c r="AO359" s="92"/>
    </row>
    <row r="360" ht="15.75" customHeight="1">
      <c r="A360" s="90"/>
      <c r="AN360" s="91"/>
      <c r="AO360" s="92"/>
    </row>
    <row r="361" ht="15.75" customHeight="1">
      <c r="A361" s="90"/>
      <c r="AN361" s="91"/>
      <c r="AO361" s="92"/>
    </row>
    <row r="362" ht="15.75" customHeight="1">
      <c r="A362" s="90"/>
      <c r="AN362" s="91"/>
      <c r="AO362" s="92"/>
    </row>
    <row r="363" ht="15.75" customHeight="1">
      <c r="A363" s="90"/>
      <c r="AN363" s="91"/>
      <c r="AO363" s="92"/>
    </row>
    <row r="364" ht="15.75" customHeight="1">
      <c r="A364" s="90"/>
      <c r="AN364" s="91"/>
      <c r="AO364" s="92"/>
    </row>
    <row r="365" ht="15.75" customHeight="1">
      <c r="A365" s="90"/>
      <c r="AN365" s="91"/>
      <c r="AO365" s="92"/>
    </row>
    <row r="366" ht="15.75" customHeight="1">
      <c r="A366" s="90"/>
      <c r="AN366" s="91"/>
      <c r="AO366" s="92"/>
    </row>
    <row r="367" ht="15.75" customHeight="1">
      <c r="A367" s="90"/>
      <c r="AN367" s="91"/>
      <c r="AO367" s="92"/>
    </row>
    <row r="368" ht="15.75" customHeight="1">
      <c r="A368" s="90"/>
      <c r="AN368" s="91"/>
      <c r="AO368" s="92"/>
    </row>
    <row r="369" ht="15.75" customHeight="1">
      <c r="A369" s="90"/>
      <c r="AN369" s="91"/>
      <c r="AO369" s="92"/>
    </row>
    <row r="370" ht="15.75" customHeight="1">
      <c r="A370" s="90"/>
      <c r="AN370" s="91"/>
      <c r="AO370" s="92"/>
    </row>
    <row r="371" ht="15.75" customHeight="1">
      <c r="A371" s="90"/>
      <c r="AN371" s="91"/>
      <c r="AO371" s="92"/>
    </row>
    <row r="372" ht="15.75" customHeight="1">
      <c r="A372" s="90"/>
      <c r="AN372" s="91"/>
      <c r="AO372" s="92"/>
    </row>
    <row r="373" ht="15.75" customHeight="1">
      <c r="A373" s="90"/>
      <c r="AN373" s="91"/>
      <c r="AO373" s="92"/>
    </row>
    <row r="374" ht="15.75" customHeight="1">
      <c r="A374" s="90"/>
      <c r="AN374" s="91"/>
      <c r="AO374" s="92"/>
    </row>
    <row r="375" ht="15.75" customHeight="1">
      <c r="A375" s="90"/>
      <c r="AN375" s="91"/>
      <c r="AO375" s="92"/>
    </row>
    <row r="376" ht="15.75" customHeight="1">
      <c r="A376" s="90"/>
      <c r="AN376" s="91"/>
      <c r="AO376" s="92"/>
    </row>
    <row r="377" ht="15.75" customHeight="1">
      <c r="A377" s="90"/>
      <c r="AN377" s="91"/>
      <c r="AO377" s="92"/>
    </row>
    <row r="378" ht="15.75" customHeight="1">
      <c r="A378" s="90"/>
      <c r="AN378" s="91"/>
      <c r="AO378" s="92"/>
    </row>
    <row r="379" ht="15.75" customHeight="1">
      <c r="A379" s="90"/>
      <c r="AN379" s="91"/>
      <c r="AO379" s="92"/>
    </row>
    <row r="380" ht="15.75" customHeight="1">
      <c r="A380" s="90"/>
      <c r="AN380" s="91"/>
      <c r="AO380" s="92"/>
    </row>
    <row r="381" ht="15.75" customHeight="1">
      <c r="A381" s="90"/>
      <c r="AN381" s="91"/>
      <c r="AO381" s="92"/>
    </row>
    <row r="382" ht="15.75" customHeight="1">
      <c r="A382" s="90"/>
      <c r="AN382" s="91"/>
      <c r="AO382" s="92"/>
    </row>
    <row r="383" ht="15.75" customHeight="1">
      <c r="A383" s="90"/>
      <c r="AN383" s="91"/>
      <c r="AO383" s="92"/>
    </row>
    <row r="384" ht="15.75" customHeight="1">
      <c r="A384" s="90"/>
      <c r="AN384" s="91"/>
      <c r="AO384" s="92"/>
    </row>
    <row r="385" ht="15.75" customHeight="1">
      <c r="A385" s="90"/>
      <c r="AN385" s="91"/>
      <c r="AO385" s="92"/>
    </row>
    <row r="386" ht="15.75" customHeight="1">
      <c r="A386" s="90"/>
      <c r="AN386" s="91"/>
      <c r="AO386" s="92"/>
    </row>
    <row r="387" ht="15.75" customHeight="1">
      <c r="A387" s="90"/>
      <c r="AN387" s="91"/>
      <c r="AO387" s="92"/>
    </row>
    <row r="388" ht="15.75" customHeight="1">
      <c r="A388" s="90"/>
      <c r="AN388" s="91"/>
      <c r="AO388" s="92"/>
    </row>
    <row r="389" ht="15.75" customHeight="1">
      <c r="A389" s="90"/>
      <c r="AN389" s="91"/>
      <c r="AO389" s="92"/>
    </row>
    <row r="390" ht="15.75" customHeight="1">
      <c r="A390" s="90"/>
      <c r="AN390" s="91"/>
      <c r="AO390" s="92"/>
    </row>
    <row r="391" ht="15.75" customHeight="1">
      <c r="A391" s="90"/>
      <c r="AN391" s="91"/>
      <c r="AO391" s="92"/>
    </row>
    <row r="392" ht="15.75" customHeight="1">
      <c r="A392" s="90"/>
      <c r="AN392" s="91"/>
      <c r="AO392" s="92"/>
    </row>
    <row r="393" ht="15.75" customHeight="1">
      <c r="A393" s="90"/>
      <c r="AN393" s="91"/>
      <c r="AO393" s="92"/>
    </row>
    <row r="394" ht="15.75" customHeight="1">
      <c r="A394" s="90"/>
      <c r="AN394" s="91"/>
      <c r="AO394" s="92"/>
    </row>
    <row r="395" ht="15.75" customHeight="1">
      <c r="A395" s="90"/>
      <c r="AN395" s="91"/>
      <c r="AO395" s="92"/>
    </row>
    <row r="396" ht="15.75" customHeight="1">
      <c r="A396" s="90"/>
      <c r="AN396" s="91"/>
      <c r="AO396" s="92"/>
    </row>
    <row r="397" ht="15.75" customHeight="1">
      <c r="A397" s="90"/>
      <c r="AN397" s="91"/>
      <c r="AO397" s="92"/>
    </row>
    <row r="398" ht="15.75" customHeight="1">
      <c r="A398" s="90"/>
      <c r="AN398" s="91"/>
      <c r="AO398" s="92"/>
    </row>
    <row r="399" ht="15.75" customHeight="1">
      <c r="A399" s="90"/>
      <c r="AN399" s="91"/>
      <c r="AO399" s="92"/>
    </row>
    <row r="400" ht="15.75" customHeight="1">
      <c r="A400" s="90"/>
      <c r="AN400" s="91"/>
      <c r="AO400" s="92"/>
    </row>
    <row r="401" ht="15.75" customHeight="1">
      <c r="A401" s="90"/>
      <c r="AN401" s="91"/>
      <c r="AO401" s="92"/>
    </row>
    <row r="402" ht="15.75" customHeight="1">
      <c r="A402" s="90"/>
      <c r="AN402" s="91"/>
      <c r="AO402" s="92"/>
    </row>
    <row r="403" ht="15.75" customHeight="1">
      <c r="A403" s="90"/>
      <c r="AN403" s="91"/>
      <c r="AO403" s="92"/>
    </row>
    <row r="404" ht="15.75" customHeight="1">
      <c r="A404" s="90"/>
      <c r="AN404" s="91"/>
      <c r="AO404" s="92"/>
    </row>
    <row r="405" ht="15.75" customHeight="1">
      <c r="A405" s="90"/>
      <c r="AN405" s="91"/>
      <c r="AO405" s="92"/>
    </row>
    <row r="406" ht="15.75" customHeight="1">
      <c r="A406" s="90"/>
      <c r="AN406" s="91"/>
      <c r="AO406" s="92"/>
    </row>
    <row r="407" ht="15.75" customHeight="1">
      <c r="A407" s="90"/>
      <c r="AN407" s="91"/>
      <c r="AO407" s="92"/>
    </row>
    <row r="408" ht="15.75" customHeight="1">
      <c r="A408" s="90"/>
      <c r="AN408" s="91"/>
      <c r="AO408" s="92"/>
    </row>
    <row r="409" ht="15.75" customHeight="1">
      <c r="A409" s="90"/>
      <c r="AN409" s="91"/>
      <c r="AO409" s="92"/>
    </row>
    <row r="410" ht="15.75" customHeight="1">
      <c r="A410" s="90"/>
      <c r="AN410" s="91"/>
      <c r="AO410" s="92"/>
    </row>
    <row r="411" ht="15.75" customHeight="1">
      <c r="A411" s="90"/>
      <c r="AN411" s="91"/>
      <c r="AO411" s="92"/>
    </row>
    <row r="412" ht="15.75" customHeight="1">
      <c r="A412" s="90"/>
      <c r="AN412" s="91"/>
      <c r="AO412" s="92"/>
    </row>
    <row r="413" ht="15.75" customHeight="1">
      <c r="A413" s="90"/>
      <c r="AN413" s="91"/>
      <c r="AO413" s="92"/>
    </row>
    <row r="414" ht="15.75" customHeight="1">
      <c r="A414" s="90"/>
      <c r="AN414" s="91"/>
      <c r="AO414" s="92"/>
    </row>
    <row r="415" ht="15.75" customHeight="1">
      <c r="A415" s="90"/>
      <c r="AN415" s="91"/>
      <c r="AO415" s="92"/>
    </row>
    <row r="416" ht="15.75" customHeight="1">
      <c r="A416" s="90"/>
      <c r="AN416" s="91"/>
      <c r="AO416" s="92"/>
    </row>
    <row r="417" ht="15.75" customHeight="1">
      <c r="A417" s="90"/>
      <c r="AN417" s="91"/>
      <c r="AO417" s="92"/>
    </row>
    <row r="418" ht="15.75" customHeight="1">
      <c r="A418" s="90"/>
      <c r="AN418" s="91"/>
      <c r="AO418" s="92"/>
    </row>
    <row r="419" ht="15.75" customHeight="1">
      <c r="A419" s="90"/>
      <c r="AN419" s="91"/>
      <c r="AO419" s="92"/>
    </row>
    <row r="420" ht="15.75" customHeight="1">
      <c r="A420" s="90"/>
      <c r="AN420" s="91"/>
      <c r="AO420" s="92"/>
    </row>
    <row r="421" ht="15.75" customHeight="1">
      <c r="A421" s="90"/>
      <c r="AN421" s="91"/>
      <c r="AO421" s="92"/>
    </row>
    <row r="422" ht="15.75" customHeight="1">
      <c r="A422" s="90"/>
      <c r="AN422" s="91"/>
      <c r="AO422" s="92"/>
    </row>
    <row r="423" ht="15.75" customHeight="1">
      <c r="A423" s="90"/>
      <c r="AN423" s="91"/>
      <c r="AO423" s="92"/>
    </row>
    <row r="424" ht="15.75" customHeight="1">
      <c r="A424" s="90"/>
      <c r="AN424" s="91"/>
      <c r="AO424" s="92"/>
    </row>
    <row r="425" ht="15.75" customHeight="1">
      <c r="A425" s="90"/>
      <c r="AN425" s="91"/>
      <c r="AO425" s="92"/>
    </row>
    <row r="426" ht="15.75" customHeight="1">
      <c r="A426" s="90"/>
      <c r="AN426" s="91"/>
      <c r="AO426" s="92"/>
    </row>
    <row r="427" ht="15.75" customHeight="1">
      <c r="A427" s="90"/>
      <c r="AN427" s="91"/>
      <c r="AO427" s="92"/>
    </row>
    <row r="428" ht="15.75" customHeight="1">
      <c r="A428" s="90"/>
      <c r="AN428" s="91"/>
      <c r="AO428" s="92"/>
    </row>
    <row r="429" ht="15.75" customHeight="1">
      <c r="A429" s="90"/>
      <c r="AN429" s="91"/>
      <c r="AO429" s="92"/>
    </row>
    <row r="430" ht="15.75" customHeight="1">
      <c r="A430" s="90"/>
      <c r="AN430" s="91"/>
      <c r="AO430" s="92"/>
    </row>
    <row r="431" ht="15.75" customHeight="1">
      <c r="A431" s="90"/>
      <c r="AN431" s="91"/>
      <c r="AO431" s="92"/>
    </row>
    <row r="432" ht="15.75" customHeight="1">
      <c r="A432" s="90"/>
      <c r="AN432" s="91"/>
      <c r="AO432" s="92"/>
    </row>
    <row r="433" ht="15.75" customHeight="1">
      <c r="A433" s="90"/>
      <c r="AN433" s="91"/>
      <c r="AO433" s="92"/>
    </row>
    <row r="434" ht="15.75" customHeight="1">
      <c r="A434" s="90"/>
      <c r="AN434" s="91"/>
      <c r="AO434" s="92"/>
    </row>
    <row r="435" ht="15.75" customHeight="1">
      <c r="A435" s="90"/>
      <c r="AN435" s="91"/>
      <c r="AO435" s="92"/>
    </row>
    <row r="436" ht="15.75" customHeight="1">
      <c r="A436" s="90"/>
      <c r="AN436" s="91"/>
      <c r="AO436" s="92"/>
    </row>
    <row r="437" ht="15.75" customHeight="1">
      <c r="A437" s="90"/>
      <c r="AN437" s="91"/>
      <c r="AO437" s="92"/>
    </row>
    <row r="438" ht="15.75" customHeight="1">
      <c r="A438" s="90"/>
      <c r="AN438" s="91"/>
      <c r="AO438" s="92"/>
    </row>
    <row r="439" ht="15.75" customHeight="1">
      <c r="A439" s="90"/>
      <c r="AN439" s="91"/>
      <c r="AO439" s="92"/>
    </row>
    <row r="440" ht="15.75" customHeight="1">
      <c r="A440" s="90"/>
      <c r="AN440" s="91"/>
      <c r="AO440" s="92"/>
    </row>
    <row r="441" ht="15.75" customHeight="1">
      <c r="A441" s="90"/>
      <c r="AN441" s="91"/>
      <c r="AO441" s="92"/>
    </row>
    <row r="442" ht="15.75" customHeight="1">
      <c r="A442" s="90"/>
      <c r="AN442" s="91"/>
      <c r="AO442" s="92"/>
    </row>
    <row r="443" ht="15.75" customHeight="1">
      <c r="A443" s="90"/>
      <c r="AN443" s="91"/>
      <c r="AO443" s="92"/>
    </row>
    <row r="444" ht="15.75" customHeight="1">
      <c r="A444" s="90"/>
      <c r="AN444" s="91"/>
      <c r="AO444" s="92"/>
    </row>
    <row r="445" ht="15.75" customHeight="1">
      <c r="A445" s="90"/>
      <c r="AN445" s="91"/>
      <c r="AO445" s="92"/>
    </row>
    <row r="446" ht="15.75" customHeight="1">
      <c r="A446" s="90"/>
      <c r="AN446" s="91"/>
      <c r="AO446" s="92"/>
    </row>
    <row r="447" ht="15.75" customHeight="1">
      <c r="A447" s="90"/>
      <c r="AN447" s="91"/>
      <c r="AO447" s="92"/>
    </row>
    <row r="448" ht="15.75" customHeight="1">
      <c r="A448" s="90"/>
      <c r="AN448" s="91"/>
      <c r="AO448" s="92"/>
    </row>
    <row r="449" ht="15.75" customHeight="1">
      <c r="A449" s="90"/>
      <c r="AN449" s="91"/>
      <c r="AO449" s="92"/>
    </row>
    <row r="450" ht="15.75" customHeight="1">
      <c r="A450" s="90"/>
      <c r="AN450" s="91"/>
      <c r="AO450" s="92"/>
    </row>
    <row r="451" ht="15.75" customHeight="1">
      <c r="A451" s="90"/>
      <c r="AN451" s="91"/>
      <c r="AO451" s="92"/>
    </row>
    <row r="452" ht="15.75" customHeight="1">
      <c r="A452" s="90"/>
      <c r="AN452" s="91"/>
      <c r="AO452" s="92"/>
    </row>
    <row r="453" ht="15.75" customHeight="1">
      <c r="A453" s="90"/>
      <c r="AN453" s="91"/>
      <c r="AO453" s="92"/>
    </row>
    <row r="454" ht="15.75" customHeight="1">
      <c r="A454" s="90"/>
      <c r="AN454" s="91"/>
      <c r="AO454" s="92"/>
    </row>
    <row r="455" ht="15.75" customHeight="1">
      <c r="A455" s="90"/>
      <c r="AN455" s="91"/>
      <c r="AO455" s="92"/>
    </row>
    <row r="456" ht="15.75" customHeight="1">
      <c r="A456" s="90"/>
      <c r="AN456" s="91"/>
      <c r="AO456" s="92"/>
    </row>
    <row r="457" ht="15.75" customHeight="1">
      <c r="A457" s="90"/>
      <c r="AN457" s="91"/>
      <c r="AO457" s="92"/>
    </row>
    <row r="458" ht="15.75" customHeight="1">
      <c r="A458" s="90"/>
      <c r="AN458" s="91"/>
      <c r="AO458" s="92"/>
    </row>
    <row r="459" ht="15.75" customHeight="1">
      <c r="A459" s="90"/>
      <c r="AN459" s="91"/>
      <c r="AO459" s="92"/>
    </row>
    <row r="460" ht="15.75" customHeight="1">
      <c r="A460" s="90"/>
      <c r="AN460" s="91"/>
      <c r="AO460" s="92"/>
    </row>
    <row r="461" ht="15.75" customHeight="1">
      <c r="A461" s="90"/>
      <c r="AN461" s="91"/>
      <c r="AO461" s="92"/>
    </row>
    <row r="462" ht="15.75" customHeight="1">
      <c r="A462" s="90"/>
      <c r="AN462" s="91"/>
      <c r="AO462" s="92"/>
    </row>
    <row r="463" ht="15.75" customHeight="1">
      <c r="A463" s="90"/>
      <c r="AN463" s="91"/>
      <c r="AO463" s="92"/>
    </row>
    <row r="464" ht="15.75" customHeight="1">
      <c r="A464" s="90"/>
      <c r="AN464" s="91"/>
      <c r="AO464" s="92"/>
    </row>
    <row r="465" ht="15.75" customHeight="1">
      <c r="A465" s="90"/>
      <c r="AN465" s="91"/>
      <c r="AO465" s="92"/>
    </row>
    <row r="466" ht="15.75" customHeight="1">
      <c r="A466" s="90"/>
      <c r="AN466" s="91"/>
      <c r="AO466" s="92"/>
    </row>
    <row r="467" ht="15.75" customHeight="1">
      <c r="A467" s="90"/>
      <c r="AN467" s="91"/>
      <c r="AO467" s="92"/>
    </row>
    <row r="468" ht="15.75" customHeight="1">
      <c r="A468" s="90"/>
      <c r="AN468" s="91"/>
      <c r="AO468" s="92"/>
    </row>
    <row r="469" ht="15.75" customHeight="1">
      <c r="A469" s="90"/>
      <c r="AN469" s="91"/>
      <c r="AO469" s="92"/>
    </row>
    <row r="470" ht="15.75" customHeight="1">
      <c r="A470" s="90"/>
      <c r="AN470" s="91"/>
      <c r="AO470" s="92"/>
    </row>
    <row r="471" ht="15.75" customHeight="1">
      <c r="A471" s="90"/>
      <c r="AN471" s="91"/>
      <c r="AO471" s="92"/>
    </row>
    <row r="472" ht="15.75" customHeight="1">
      <c r="A472" s="90"/>
      <c r="AN472" s="91"/>
      <c r="AO472" s="92"/>
    </row>
    <row r="473" ht="15.75" customHeight="1">
      <c r="A473" s="90"/>
      <c r="AN473" s="91"/>
      <c r="AO473" s="92"/>
    </row>
    <row r="474" ht="15.75" customHeight="1">
      <c r="A474" s="90"/>
      <c r="AN474" s="91"/>
      <c r="AO474" s="92"/>
    </row>
    <row r="475" ht="15.75" customHeight="1">
      <c r="A475" s="90"/>
      <c r="AN475" s="91"/>
      <c r="AO475" s="92"/>
    </row>
    <row r="476" ht="15.75" customHeight="1">
      <c r="A476" s="90"/>
      <c r="AN476" s="91"/>
      <c r="AO476" s="92"/>
    </row>
    <row r="477" ht="15.75" customHeight="1">
      <c r="A477" s="90"/>
      <c r="AN477" s="91"/>
      <c r="AO477" s="92"/>
    </row>
    <row r="478" ht="15.75" customHeight="1">
      <c r="A478" s="90"/>
      <c r="AN478" s="91"/>
      <c r="AO478" s="92"/>
    </row>
    <row r="479" ht="15.75" customHeight="1">
      <c r="A479" s="90"/>
      <c r="AN479" s="91"/>
      <c r="AO479" s="92"/>
    </row>
    <row r="480" ht="15.75" customHeight="1">
      <c r="A480" s="90"/>
      <c r="AN480" s="91"/>
      <c r="AO480" s="92"/>
    </row>
    <row r="481" ht="15.75" customHeight="1">
      <c r="A481" s="90"/>
      <c r="AN481" s="91"/>
      <c r="AO481" s="92"/>
    </row>
    <row r="482" ht="15.75" customHeight="1">
      <c r="A482" s="90"/>
      <c r="AN482" s="91"/>
      <c r="AO482" s="92"/>
    </row>
    <row r="483" ht="15.75" customHeight="1">
      <c r="A483" s="90"/>
      <c r="AN483" s="91"/>
      <c r="AO483" s="92"/>
    </row>
    <row r="484" ht="15.75" customHeight="1">
      <c r="A484" s="90"/>
      <c r="AN484" s="91"/>
      <c r="AO484" s="92"/>
    </row>
    <row r="485" ht="15.75" customHeight="1">
      <c r="A485" s="90"/>
      <c r="AN485" s="91"/>
      <c r="AO485" s="92"/>
    </row>
    <row r="486" ht="15.75" customHeight="1">
      <c r="A486" s="90"/>
      <c r="AN486" s="91"/>
      <c r="AO486" s="92"/>
    </row>
    <row r="487" ht="15.75" customHeight="1">
      <c r="A487" s="90"/>
      <c r="AN487" s="91"/>
      <c r="AO487" s="92"/>
    </row>
    <row r="488" ht="15.75" customHeight="1">
      <c r="A488" s="90"/>
      <c r="AN488" s="91"/>
      <c r="AO488" s="92"/>
    </row>
    <row r="489" ht="15.75" customHeight="1">
      <c r="A489" s="90"/>
      <c r="AN489" s="91"/>
      <c r="AO489" s="92"/>
    </row>
    <row r="490" ht="15.75" customHeight="1">
      <c r="A490" s="90"/>
      <c r="AN490" s="91"/>
      <c r="AO490" s="92"/>
    </row>
    <row r="491" ht="15.75" customHeight="1">
      <c r="A491" s="90"/>
      <c r="AN491" s="91"/>
      <c r="AO491" s="92"/>
    </row>
    <row r="492" ht="15.75" customHeight="1">
      <c r="A492" s="90"/>
      <c r="AN492" s="91"/>
      <c r="AO492" s="92"/>
    </row>
    <row r="493" ht="15.75" customHeight="1">
      <c r="A493" s="90"/>
      <c r="AN493" s="91"/>
      <c r="AO493" s="92"/>
    </row>
    <row r="494" ht="15.75" customHeight="1">
      <c r="A494" s="90"/>
      <c r="AN494" s="91"/>
      <c r="AO494" s="92"/>
    </row>
    <row r="495" ht="15.75" customHeight="1">
      <c r="A495" s="90"/>
      <c r="AN495" s="91"/>
      <c r="AO495" s="92"/>
    </row>
    <row r="496" ht="15.75" customHeight="1">
      <c r="A496" s="90"/>
      <c r="AN496" s="91"/>
      <c r="AO496" s="92"/>
    </row>
    <row r="497" ht="15.75" customHeight="1">
      <c r="A497" s="90"/>
      <c r="AN497" s="91"/>
      <c r="AO497" s="92"/>
    </row>
    <row r="498" ht="15.75" customHeight="1">
      <c r="A498" s="90"/>
      <c r="AN498" s="91"/>
      <c r="AO498" s="92"/>
    </row>
    <row r="499" ht="15.75" customHeight="1">
      <c r="A499" s="90"/>
      <c r="AN499" s="91"/>
      <c r="AO499" s="92"/>
    </row>
    <row r="500" ht="15.75" customHeight="1">
      <c r="A500" s="90"/>
      <c r="AN500" s="91"/>
      <c r="AO500" s="92"/>
    </row>
    <row r="501" ht="15.75" customHeight="1">
      <c r="A501" s="90"/>
      <c r="AN501" s="91"/>
      <c r="AO501" s="92"/>
    </row>
    <row r="502" ht="15.75" customHeight="1">
      <c r="A502" s="90"/>
      <c r="AN502" s="91"/>
      <c r="AO502" s="92"/>
    </row>
    <row r="503" ht="15.75" customHeight="1">
      <c r="A503" s="90"/>
      <c r="AN503" s="91"/>
      <c r="AO503" s="92"/>
    </row>
    <row r="504" ht="15.75" customHeight="1">
      <c r="A504" s="90"/>
      <c r="AN504" s="91"/>
      <c r="AO504" s="92"/>
    </row>
    <row r="505" ht="15.75" customHeight="1">
      <c r="A505" s="90"/>
      <c r="AN505" s="91"/>
      <c r="AO505" s="92"/>
    </row>
    <row r="506" ht="15.75" customHeight="1">
      <c r="A506" s="90"/>
      <c r="AN506" s="91"/>
      <c r="AO506" s="92"/>
    </row>
    <row r="507" ht="15.75" customHeight="1">
      <c r="A507" s="90"/>
      <c r="AN507" s="91"/>
      <c r="AO507" s="92"/>
    </row>
    <row r="508" ht="15.75" customHeight="1">
      <c r="A508" s="90"/>
      <c r="AN508" s="91"/>
      <c r="AO508" s="92"/>
    </row>
    <row r="509" ht="15.75" customHeight="1">
      <c r="A509" s="90"/>
      <c r="AN509" s="91"/>
      <c r="AO509" s="92"/>
    </row>
    <row r="510" ht="15.75" customHeight="1">
      <c r="A510" s="90"/>
      <c r="AN510" s="91"/>
      <c r="AO510" s="92"/>
    </row>
    <row r="511" ht="15.75" customHeight="1">
      <c r="A511" s="90"/>
      <c r="AN511" s="91"/>
      <c r="AO511" s="92"/>
    </row>
    <row r="512" ht="15.75" customHeight="1">
      <c r="A512" s="90"/>
      <c r="AN512" s="91"/>
      <c r="AO512" s="92"/>
    </row>
    <row r="513" ht="15.75" customHeight="1">
      <c r="A513" s="90"/>
      <c r="AN513" s="91"/>
      <c r="AO513" s="92"/>
    </row>
    <row r="514" ht="15.75" customHeight="1">
      <c r="A514" s="90"/>
      <c r="AN514" s="91"/>
      <c r="AO514" s="92"/>
    </row>
    <row r="515" ht="15.75" customHeight="1">
      <c r="A515" s="90"/>
      <c r="AN515" s="91"/>
      <c r="AO515" s="92"/>
    </row>
    <row r="516" ht="15.75" customHeight="1">
      <c r="A516" s="90"/>
      <c r="AN516" s="91"/>
      <c r="AO516" s="92"/>
    </row>
    <row r="517" ht="15.75" customHeight="1">
      <c r="A517" s="90"/>
      <c r="AN517" s="91"/>
      <c r="AO517" s="92"/>
    </row>
    <row r="518" ht="15.75" customHeight="1">
      <c r="A518" s="90"/>
      <c r="AN518" s="91"/>
      <c r="AO518" s="92"/>
    </row>
    <row r="519" ht="15.75" customHeight="1">
      <c r="A519" s="90"/>
      <c r="AN519" s="91"/>
      <c r="AO519" s="92"/>
    </row>
    <row r="520" ht="15.75" customHeight="1">
      <c r="A520" s="90"/>
      <c r="AN520" s="91"/>
      <c r="AO520" s="92"/>
    </row>
    <row r="521" ht="15.75" customHeight="1">
      <c r="A521" s="90"/>
      <c r="AN521" s="91"/>
      <c r="AO521" s="92"/>
    </row>
    <row r="522" ht="15.75" customHeight="1">
      <c r="A522" s="90"/>
      <c r="AN522" s="91"/>
      <c r="AO522" s="92"/>
    </row>
    <row r="523" ht="15.75" customHeight="1">
      <c r="A523" s="90"/>
      <c r="AN523" s="91"/>
      <c r="AO523" s="92"/>
    </row>
    <row r="524" ht="15.75" customHeight="1">
      <c r="A524" s="90"/>
      <c r="AN524" s="91"/>
      <c r="AO524" s="92"/>
    </row>
    <row r="525" ht="15.75" customHeight="1">
      <c r="A525" s="90"/>
      <c r="AN525" s="91"/>
      <c r="AO525" s="92"/>
    </row>
    <row r="526" ht="15.75" customHeight="1">
      <c r="A526" s="90"/>
      <c r="AN526" s="91"/>
      <c r="AO526" s="92"/>
    </row>
    <row r="527" ht="15.75" customHeight="1">
      <c r="A527" s="90"/>
      <c r="AN527" s="91"/>
      <c r="AO527" s="92"/>
    </row>
    <row r="528" ht="15.75" customHeight="1">
      <c r="A528" s="90"/>
      <c r="AN528" s="91"/>
      <c r="AO528" s="92"/>
    </row>
    <row r="529" ht="15.75" customHeight="1">
      <c r="A529" s="90"/>
      <c r="AN529" s="91"/>
      <c r="AO529" s="92"/>
    </row>
    <row r="530" ht="15.75" customHeight="1">
      <c r="A530" s="90"/>
      <c r="AN530" s="91"/>
      <c r="AO530" s="92"/>
    </row>
    <row r="531" ht="15.75" customHeight="1">
      <c r="A531" s="90"/>
      <c r="AN531" s="91"/>
      <c r="AO531" s="92"/>
    </row>
    <row r="532" ht="15.75" customHeight="1">
      <c r="A532" s="90"/>
      <c r="AN532" s="91"/>
      <c r="AO532" s="92"/>
    </row>
    <row r="533" ht="15.75" customHeight="1">
      <c r="A533" s="90"/>
      <c r="AN533" s="91"/>
      <c r="AO533" s="92"/>
    </row>
    <row r="534" ht="15.75" customHeight="1">
      <c r="A534" s="90"/>
      <c r="AN534" s="91"/>
      <c r="AO534" s="92"/>
    </row>
    <row r="535" ht="15.75" customHeight="1">
      <c r="A535" s="90"/>
      <c r="AN535" s="91"/>
      <c r="AO535" s="92"/>
    </row>
    <row r="536" ht="15.75" customHeight="1">
      <c r="A536" s="90"/>
      <c r="AN536" s="91"/>
      <c r="AO536" s="92"/>
    </row>
    <row r="537" ht="15.75" customHeight="1">
      <c r="A537" s="90"/>
      <c r="AN537" s="91"/>
      <c r="AO537" s="92"/>
    </row>
    <row r="538" ht="15.75" customHeight="1">
      <c r="A538" s="90"/>
      <c r="AN538" s="91"/>
      <c r="AO538" s="92"/>
    </row>
    <row r="539" ht="15.75" customHeight="1">
      <c r="A539" s="90"/>
      <c r="AN539" s="91"/>
      <c r="AO539" s="92"/>
    </row>
    <row r="540" ht="15.75" customHeight="1">
      <c r="A540" s="90"/>
      <c r="AN540" s="91"/>
      <c r="AO540" s="92"/>
    </row>
    <row r="541" ht="15.75" customHeight="1">
      <c r="A541" s="90"/>
      <c r="AN541" s="91"/>
      <c r="AO541" s="92"/>
    </row>
    <row r="542" ht="15.75" customHeight="1">
      <c r="A542" s="90"/>
      <c r="AN542" s="91"/>
      <c r="AO542" s="92"/>
    </row>
    <row r="543" ht="15.75" customHeight="1">
      <c r="A543" s="90"/>
      <c r="AN543" s="91"/>
      <c r="AO543" s="92"/>
    </row>
    <row r="544" ht="15.75" customHeight="1">
      <c r="A544" s="90"/>
      <c r="AN544" s="91"/>
      <c r="AO544" s="92"/>
    </row>
    <row r="545" ht="15.75" customHeight="1">
      <c r="A545" s="90"/>
      <c r="AN545" s="91"/>
      <c r="AO545" s="92"/>
    </row>
    <row r="546" ht="15.75" customHeight="1">
      <c r="A546" s="90"/>
      <c r="AN546" s="91"/>
      <c r="AO546" s="92"/>
    </row>
    <row r="547" ht="15.75" customHeight="1">
      <c r="A547" s="90"/>
      <c r="AN547" s="91"/>
      <c r="AO547" s="92"/>
    </row>
    <row r="548" ht="15.75" customHeight="1">
      <c r="A548" s="90"/>
      <c r="AN548" s="91"/>
      <c r="AO548" s="92"/>
    </row>
    <row r="549" ht="15.75" customHeight="1">
      <c r="A549" s="90"/>
      <c r="AN549" s="91"/>
      <c r="AO549" s="92"/>
    </row>
    <row r="550" ht="15.75" customHeight="1">
      <c r="A550" s="90"/>
      <c r="AN550" s="91"/>
      <c r="AO550" s="92"/>
    </row>
    <row r="551" ht="15.75" customHeight="1">
      <c r="A551" s="90"/>
      <c r="AN551" s="91"/>
      <c r="AO551" s="92"/>
    </row>
    <row r="552" ht="15.75" customHeight="1">
      <c r="A552" s="90"/>
      <c r="AN552" s="91"/>
      <c r="AO552" s="92"/>
    </row>
    <row r="553" ht="15.75" customHeight="1">
      <c r="A553" s="90"/>
      <c r="AN553" s="91"/>
      <c r="AO553" s="92"/>
    </row>
    <row r="554" ht="15.75" customHeight="1">
      <c r="A554" s="90"/>
      <c r="AN554" s="91"/>
      <c r="AO554" s="92"/>
    </row>
    <row r="555" ht="15.75" customHeight="1">
      <c r="A555" s="90"/>
      <c r="AN555" s="91"/>
      <c r="AO555" s="92"/>
    </row>
    <row r="556" ht="15.75" customHeight="1">
      <c r="A556" s="90"/>
      <c r="AN556" s="91"/>
      <c r="AO556" s="92"/>
    </row>
    <row r="557" ht="15.75" customHeight="1">
      <c r="A557" s="90"/>
      <c r="AN557" s="91"/>
      <c r="AO557" s="92"/>
    </row>
    <row r="558" ht="15.75" customHeight="1">
      <c r="A558" s="90"/>
      <c r="AN558" s="91"/>
      <c r="AO558" s="92"/>
    </row>
    <row r="559" ht="15.75" customHeight="1">
      <c r="A559" s="90"/>
      <c r="AN559" s="91"/>
      <c r="AO559" s="92"/>
    </row>
    <row r="560" ht="15.75" customHeight="1">
      <c r="A560" s="90"/>
      <c r="AN560" s="91"/>
      <c r="AO560" s="92"/>
    </row>
    <row r="561" ht="15.75" customHeight="1">
      <c r="A561" s="90"/>
      <c r="AN561" s="91"/>
      <c r="AO561" s="92"/>
    </row>
    <row r="562" ht="15.75" customHeight="1">
      <c r="A562" s="90"/>
      <c r="AN562" s="91"/>
      <c r="AO562" s="92"/>
    </row>
    <row r="563" ht="15.75" customHeight="1">
      <c r="A563" s="90"/>
      <c r="AN563" s="91"/>
      <c r="AO563" s="92"/>
    </row>
    <row r="564" ht="15.75" customHeight="1">
      <c r="A564" s="90"/>
      <c r="AN564" s="91"/>
      <c r="AO564" s="92"/>
    </row>
    <row r="565" ht="15.75" customHeight="1">
      <c r="A565" s="90"/>
      <c r="AN565" s="91"/>
      <c r="AO565" s="92"/>
    </row>
    <row r="566" ht="15.75" customHeight="1">
      <c r="A566" s="90"/>
      <c r="AN566" s="91"/>
      <c r="AO566" s="92"/>
    </row>
    <row r="567" ht="15.75" customHeight="1">
      <c r="A567" s="90"/>
      <c r="AN567" s="91"/>
      <c r="AO567" s="92"/>
    </row>
    <row r="568" ht="15.75" customHeight="1">
      <c r="A568" s="90"/>
      <c r="AN568" s="91"/>
      <c r="AO568" s="92"/>
    </row>
    <row r="569" ht="15.75" customHeight="1">
      <c r="A569" s="90"/>
      <c r="AN569" s="91"/>
      <c r="AO569" s="92"/>
    </row>
    <row r="570" ht="15.75" customHeight="1">
      <c r="A570" s="90"/>
      <c r="AN570" s="91"/>
      <c r="AO570" s="92"/>
    </row>
    <row r="571" ht="15.75" customHeight="1">
      <c r="A571" s="90"/>
      <c r="AN571" s="91"/>
      <c r="AO571" s="92"/>
    </row>
    <row r="572" ht="15.75" customHeight="1">
      <c r="A572" s="90"/>
      <c r="AN572" s="91"/>
      <c r="AO572" s="92"/>
    </row>
    <row r="573" ht="15.75" customHeight="1">
      <c r="A573" s="90"/>
      <c r="AN573" s="91"/>
      <c r="AO573" s="92"/>
    </row>
    <row r="574" ht="15.75" customHeight="1">
      <c r="A574" s="90"/>
      <c r="AN574" s="91"/>
      <c r="AO574" s="92"/>
    </row>
    <row r="575" ht="15.75" customHeight="1">
      <c r="A575" s="90"/>
      <c r="AN575" s="91"/>
      <c r="AO575" s="92"/>
    </row>
    <row r="576" ht="15.75" customHeight="1">
      <c r="A576" s="90"/>
      <c r="AN576" s="91"/>
      <c r="AO576" s="92"/>
    </row>
    <row r="577" ht="15.75" customHeight="1">
      <c r="A577" s="90"/>
      <c r="AN577" s="91"/>
      <c r="AO577" s="92"/>
    </row>
    <row r="578" ht="15.75" customHeight="1">
      <c r="A578" s="90"/>
      <c r="AN578" s="91"/>
      <c r="AO578" s="92"/>
    </row>
    <row r="579" ht="15.75" customHeight="1">
      <c r="A579" s="90"/>
      <c r="AN579" s="91"/>
      <c r="AO579" s="92"/>
    </row>
    <row r="580" ht="15.75" customHeight="1">
      <c r="A580" s="90"/>
      <c r="AN580" s="91"/>
      <c r="AO580" s="92"/>
    </row>
    <row r="581" ht="15.75" customHeight="1">
      <c r="A581" s="90"/>
      <c r="AN581" s="91"/>
      <c r="AO581" s="92"/>
    </row>
    <row r="582" ht="15.75" customHeight="1">
      <c r="A582" s="90"/>
      <c r="AN582" s="91"/>
      <c r="AO582" s="92"/>
    </row>
    <row r="583" ht="15.75" customHeight="1">
      <c r="A583" s="90"/>
      <c r="AN583" s="91"/>
      <c r="AO583" s="92"/>
    </row>
    <row r="584" ht="15.75" customHeight="1">
      <c r="A584" s="90"/>
      <c r="AN584" s="91"/>
      <c r="AO584" s="92"/>
    </row>
    <row r="585" ht="15.75" customHeight="1">
      <c r="A585" s="90"/>
      <c r="AN585" s="91"/>
      <c r="AO585" s="92"/>
    </row>
    <row r="586" ht="15.75" customHeight="1">
      <c r="A586" s="90"/>
      <c r="AN586" s="91"/>
      <c r="AO586" s="92"/>
    </row>
    <row r="587" ht="15.75" customHeight="1">
      <c r="A587" s="90"/>
      <c r="AN587" s="91"/>
      <c r="AO587" s="92"/>
    </row>
    <row r="588" ht="15.75" customHeight="1">
      <c r="A588" s="90"/>
      <c r="AN588" s="91"/>
      <c r="AO588" s="92"/>
    </row>
    <row r="589" ht="15.75" customHeight="1">
      <c r="A589" s="90"/>
      <c r="AN589" s="91"/>
      <c r="AO589" s="92"/>
    </row>
    <row r="590" ht="15.75" customHeight="1">
      <c r="A590" s="90"/>
      <c r="AN590" s="91"/>
      <c r="AO590" s="92"/>
    </row>
    <row r="591" ht="15.75" customHeight="1">
      <c r="A591" s="90"/>
      <c r="AN591" s="91"/>
      <c r="AO591" s="92"/>
    </row>
    <row r="592" ht="15.75" customHeight="1">
      <c r="A592" s="90"/>
      <c r="AN592" s="91"/>
      <c r="AO592" s="92"/>
    </row>
    <row r="593" ht="15.75" customHeight="1">
      <c r="A593" s="90"/>
      <c r="AN593" s="91"/>
      <c r="AO593" s="92"/>
    </row>
    <row r="594" ht="15.75" customHeight="1">
      <c r="A594" s="90"/>
      <c r="AN594" s="91"/>
      <c r="AO594" s="92"/>
    </row>
    <row r="595" ht="15.75" customHeight="1">
      <c r="A595" s="90"/>
      <c r="AN595" s="91"/>
      <c r="AO595" s="92"/>
    </row>
    <row r="596" ht="15.75" customHeight="1">
      <c r="A596" s="90"/>
      <c r="AN596" s="91"/>
      <c r="AO596" s="92"/>
    </row>
    <row r="597" ht="15.75" customHeight="1">
      <c r="A597" s="90"/>
      <c r="AN597" s="91"/>
      <c r="AO597" s="92"/>
    </row>
    <row r="598" ht="15.75" customHeight="1">
      <c r="A598" s="90"/>
      <c r="AN598" s="91"/>
      <c r="AO598" s="92"/>
    </row>
    <row r="599" ht="15.75" customHeight="1">
      <c r="A599" s="90"/>
      <c r="AN599" s="91"/>
      <c r="AO599" s="92"/>
    </row>
    <row r="600" ht="15.75" customHeight="1">
      <c r="A600" s="90"/>
      <c r="AN600" s="91"/>
      <c r="AO600" s="92"/>
    </row>
    <row r="601" ht="15.75" customHeight="1">
      <c r="A601" s="90"/>
      <c r="AN601" s="91"/>
      <c r="AO601" s="92"/>
    </row>
    <row r="602" ht="15.75" customHeight="1">
      <c r="A602" s="90"/>
      <c r="AN602" s="91"/>
      <c r="AO602" s="92"/>
    </row>
    <row r="603" ht="15.75" customHeight="1">
      <c r="A603" s="90"/>
      <c r="AN603" s="91"/>
      <c r="AO603" s="92"/>
    </row>
    <row r="604" ht="15.75" customHeight="1">
      <c r="A604" s="90"/>
      <c r="AN604" s="91"/>
      <c r="AO604" s="92"/>
    </row>
    <row r="605" ht="15.75" customHeight="1">
      <c r="A605" s="90"/>
      <c r="AN605" s="91"/>
      <c r="AO605" s="92"/>
    </row>
    <row r="606" ht="15.75" customHeight="1">
      <c r="A606" s="90"/>
      <c r="AN606" s="91"/>
      <c r="AO606" s="92"/>
    </row>
    <row r="607" ht="15.75" customHeight="1">
      <c r="A607" s="90"/>
      <c r="AN607" s="91"/>
      <c r="AO607" s="92"/>
    </row>
    <row r="608" ht="15.75" customHeight="1">
      <c r="A608" s="90"/>
      <c r="AN608" s="91"/>
      <c r="AO608" s="92"/>
    </row>
    <row r="609" ht="15.75" customHeight="1">
      <c r="A609" s="90"/>
      <c r="AN609" s="91"/>
      <c r="AO609" s="92"/>
    </row>
    <row r="610" ht="15.75" customHeight="1">
      <c r="A610" s="90"/>
      <c r="AN610" s="91"/>
      <c r="AO610" s="92"/>
    </row>
    <row r="611" ht="15.75" customHeight="1">
      <c r="A611" s="90"/>
      <c r="AN611" s="91"/>
      <c r="AO611" s="92"/>
    </row>
    <row r="612" ht="15.75" customHeight="1">
      <c r="A612" s="90"/>
      <c r="AN612" s="91"/>
      <c r="AO612" s="92"/>
    </row>
    <row r="613" ht="15.75" customHeight="1">
      <c r="A613" s="90"/>
      <c r="AN613" s="91"/>
      <c r="AO613" s="92"/>
    </row>
    <row r="614" ht="15.75" customHeight="1">
      <c r="A614" s="90"/>
      <c r="AN614" s="91"/>
      <c r="AO614" s="92"/>
    </row>
    <row r="615" ht="15.75" customHeight="1">
      <c r="A615" s="90"/>
      <c r="AN615" s="91"/>
      <c r="AO615" s="92"/>
    </row>
    <row r="616" ht="15.75" customHeight="1">
      <c r="A616" s="90"/>
      <c r="AN616" s="91"/>
      <c r="AO616" s="92"/>
    </row>
    <row r="617" ht="15.75" customHeight="1">
      <c r="A617" s="90"/>
      <c r="AN617" s="91"/>
      <c r="AO617" s="92"/>
    </row>
    <row r="618" ht="15.75" customHeight="1">
      <c r="A618" s="90"/>
      <c r="AN618" s="91"/>
      <c r="AO618" s="92"/>
    </row>
    <row r="619" ht="15.75" customHeight="1">
      <c r="A619" s="90"/>
      <c r="AN619" s="91"/>
      <c r="AO619" s="92"/>
    </row>
    <row r="620" ht="15.75" customHeight="1">
      <c r="A620" s="90"/>
      <c r="AN620" s="91"/>
      <c r="AO620" s="92"/>
    </row>
    <row r="621" ht="15.75" customHeight="1">
      <c r="A621" s="90"/>
      <c r="AN621" s="91"/>
      <c r="AO621" s="92"/>
    </row>
    <row r="622" ht="15.75" customHeight="1">
      <c r="A622" s="90"/>
      <c r="AN622" s="91"/>
      <c r="AO622" s="92"/>
    </row>
    <row r="623" ht="15.75" customHeight="1">
      <c r="A623" s="90"/>
      <c r="AN623" s="91"/>
      <c r="AO623" s="92"/>
    </row>
    <row r="624" ht="15.75" customHeight="1">
      <c r="A624" s="90"/>
      <c r="AN624" s="91"/>
      <c r="AO624" s="92"/>
    </row>
    <row r="625" ht="15.75" customHeight="1">
      <c r="A625" s="90"/>
      <c r="AN625" s="91"/>
      <c r="AO625" s="92"/>
    </row>
    <row r="626" ht="15.75" customHeight="1">
      <c r="A626" s="90"/>
      <c r="AN626" s="91"/>
      <c r="AO626" s="92"/>
    </row>
    <row r="627" ht="15.75" customHeight="1">
      <c r="A627" s="90"/>
      <c r="AN627" s="91"/>
      <c r="AO627" s="92"/>
    </row>
    <row r="628" ht="15.75" customHeight="1">
      <c r="A628" s="90"/>
      <c r="AN628" s="91"/>
      <c r="AO628" s="92"/>
    </row>
    <row r="629" ht="15.75" customHeight="1">
      <c r="A629" s="90"/>
      <c r="AN629" s="91"/>
      <c r="AO629" s="92"/>
    </row>
    <row r="630" ht="15.75" customHeight="1">
      <c r="A630" s="90"/>
      <c r="AN630" s="91"/>
      <c r="AO630" s="92"/>
    </row>
    <row r="631" ht="15.75" customHeight="1">
      <c r="A631" s="90"/>
      <c r="AN631" s="91"/>
      <c r="AO631" s="92"/>
    </row>
    <row r="632" ht="15.75" customHeight="1">
      <c r="A632" s="90"/>
      <c r="AN632" s="91"/>
      <c r="AO632" s="92"/>
    </row>
    <row r="633" ht="15.75" customHeight="1">
      <c r="A633" s="90"/>
      <c r="AN633" s="91"/>
      <c r="AO633" s="92"/>
    </row>
    <row r="634" ht="15.75" customHeight="1">
      <c r="A634" s="90"/>
      <c r="AN634" s="91"/>
      <c r="AO634" s="92"/>
    </row>
    <row r="635" ht="15.75" customHeight="1">
      <c r="A635" s="90"/>
      <c r="AN635" s="91"/>
      <c r="AO635" s="92"/>
    </row>
    <row r="636" ht="15.75" customHeight="1">
      <c r="A636" s="90"/>
      <c r="AN636" s="91"/>
      <c r="AO636" s="92"/>
    </row>
    <row r="637" ht="15.75" customHeight="1">
      <c r="A637" s="90"/>
      <c r="AN637" s="91"/>
      <c r="AO637" s="92"/>
    </row>
    <row r="638" ht="15.75" customHeight="1">
      <c r="A638" s="90"/>
      <c r="AN638" s="91"/>
      <c r="AO638" s="92"/>
    </row>
    <row r="639" ht="15.75" customHeight="1">
      <c r="A639" s="90"/>
      <c r="AN639" s="91"/>
      <c r="AO639" s="92"/>
    </row>
    <row r="640" ht="15.75" customHeight="1">
      <c r="A640" s="90"/>
      <c r="AN640" s="91"/>
      <c r="AO640" s="92"/>
    </row>
    <row r="641" ht="15.75" customHeight="1">
      <c r="A641" s="90"/>
      <c r="AN641" s="91"/>
      <c r="AO641" s="92"/>
    </row>
    <row r="642" ht="15.75" customHeight="1">
      <c r="A642" s="90"/>
      <c r="AN642" s="91"/>
      <c r="AO642" s="92"/>
    </row>
    <row r="643" ht="15.75" customHeight="1">
      <c r="A643" s="90"/>
      <c r="AN643" s="91"/>
      <c r="AO643" s="92"/>
    </row>
    <row r="644" ht="15.75" customHeight="1">
      <c r="A644" s="90"/>
      <c r="AN644" s="91"/>
      <c r="AO644" s="92"/>
    </row>
    <row r="645" ht="15.75" customHeight="1">
      <c r="A645" s="90"/>
      <c r="AN645" s="91"/>
      <c r="AO645" s="92"/>
    </row>
    <row r="646" ht="15.75" customHeight="1">
      <c r="A646" s="90"/>
      <c r="AN646" s="91"/>
      <c r="AO646" s="92"/>
    </row>
    <row r="647" ht="15.75" customHeight="1">
      <c r="A647" s="90"/>
      <c r="AN647" s="91"/>
      <c r="AO647" s="92"/>
    </row>
    <row r="648" ht="15.75" customHeight="1">
      <c r="A648" s="90"/>
      <c r="AN648" s="91"/>
      <c r="AO648" s="92"/>
    </row>
    <row r="649" ht="15.75" customHeight="1">
      <c r="A649" s="90"/>
      <c r="AN649" s="91"/>
      <c r="AO649" s="92"/>
    </row>
    <row r="650" ht="15.75" customHeight="1">
      <c r="A650" s="90"/>
      <c r="AN650" s="91"/>
      <c r="AO650" s="92"/>
    </row>
    <row r="651" ht="15.75" customHeight="1">
      <c r="A651" s="90"/>
      <c r="AN651" s="91"/>
      <c r="AO651" s="92"/>
    </row>
    <row r="652" ht="15.75" customHeight="1">
      <c r="A652" s="90"/>
      <c r="AN652" s="91"/>
      <c r="AO652" s="92"/>
    </row>
    <row r="653" ht="15.75" customHeight="1">
      <c r="A653" s="90"/>
      <c r="AN653" s="91"/>
      <c r="AO653" s="92"/>
    </row>
    <row r="654" ht="15.75" customHeight="1">
      <c r="A654" s="90"/>
      <c r="AN654" s="91"/>
      <c r="AO654" s="92"/>
    </row>
    <row r="655" ht="15.75" customHeight="1">
      <c r="A655" s="90"/>
      <c r="AN655" s="91"/>
      <c r="AO655" s="92"/>
    </row>
    <row r="656" ht="15.75" customHeight="1">
      <c r="A656" s="90"/>
      <c r="AN656" s="91"/>
      <c r="AO656" s="92"/>
    </row>
    <row r="657" ht="15.75" customHeight="1">
      <c r="A657" s="90"/>
      <c r="AN657" s="91"/>
      <c r="AO657" s="92"/>
    </row>
    <row r="658" ht="15.75" customHeight="1">
      <c r="A658" s="90"/>
      <c r="AN658" s="91"/>
      <c r="AO658" s="92"/>
    </row>
    <row r="659" ht="15.75" customHeight="1">
      <c r="A659" s="90"/>
      <c r="AN659" s="91"/>
      <c r="AO659" s="92"/>
    </row>
    <row r="660" ht="15.75" customHeight="1">
      <c r="A660" s="90"/>
      <c r="AN660" s="91"/>
      <c r="AO660" s="92"/>
    </row>
    <row r="661" ht="15.75" customHeight="1">
      <c r="A661" s="90"/>
      <c r="AN661" s="91"/>
      <c r="AO661" s="92"/>
    </row>
    <row r="662" ht="15.75" customHeight="1">
      <c r="A662" s="90"/>
      <c r="AN662" s="91"/>
      <c r="AO662" s="92"/>
    </row>
    <row r="663" ht="15.75" customHeight="1">
      <c r="A663" s="90"/>
      <c r="AN663" s="91"/>
      <c r="AO663" s="92"/>
    </row>
    <row r="664" ht="15.75" customHeight="1">
      <c r="A664" s="90"/>
      <c r="AN664" s="91"/>
      <c r="AO664" s="92"/>
    </row>
    <row r="665" ht="15.75" customHeight="1">
      <c r="A665" s="90"/>
      <c r="AN665" s="91"/>
      <c r="AO665" s="92"/>
    </row>
    <row r="666" ht="15.75" customHeight="1">
      <c r="A666" s="90"/>
      <c r="AN666" s="91"/>
      <c r="AO666" s="92"/>
    </row>
    <row r="667" ht="15.75" customHeight="1">
      <c r="A667" s="90"/>
      <c r="AN667" s="91"/>
      <c r="AO667" s="92"/>
    </row>
    <row r="668" ht="15.75" customHeight="1">
      <c r="A668" s="90"/>
      <c r="AN668" s="91"/>
      <c r="AO668" s="92"/>
    </row>
    <row r="669" ht="15.75" customHeight="1">
      <c r="A669" s="90"/>
      <c r="AN669" s="91"/>
      <c r="AO669" s="92"/>
    </row>
    <row r="670" ht="15.75" customHeight="1">
      <c r="A670" s="90"/>
      <c r="AN670" s="91"/>
      <c r="AO670" s="92"/>
    </row>
    <row r="671" ht="15.75" customHeight="1">
      <c r="A671" s="90"/>
      <c r="AN671" s="91"/>
      <c r="AO671" s="92"/>
    </row>
    <row r="672" ht="15.75" customHeight="1">
      <c r="A672" s="90"/>
      <c r="AN672" s="91"/>
      <c r="AO672" s="92"/>
    </row>
    <row r="673" ht="15.75" customHeight="1">
      <c r="A673" s="90"/>
      <c r="AN673" s="91"/>
      <c r="AO673" s="92"/>
    </row>
    <row r="674" ht="15.75" customHeight="1">
      <c r="A674" s="90"/>
      <c r="AN674" s="91"/>
      <c r="AO674" s="92"/>
    </row>
    <row r="675" ht="15.75" customHeight="1">
      <c r="A675" s="90"/>
      <c r="AN675" s="91"/>
      <c r="AO675" s="92"/>
    </row>
    <row r="676" ht="15.75" customHeight="1">
      <c r="A676" s="90"/>
      <c r="AN676" s="91"/>
      <c r="AO676" s="92"/>
    </row>
    <row r="677" ht="15.75" customHeight="1">
      <c r="A677" s="90"/>
      <c r="AN677" s="91"/>
      <c r="AO677" s="92"/>
    </row>
    <row r="678" ht="15.75" customHeight="1">
      <c r="A678" s="90"/>
      <c r="AN678" s="91"/>
      <c r="AO678" s="92"/>
    </row>
    <row r="679" ht="15.75" customHeight="1">
      <c r="A679" s="90"/>
      <c r="AN679" s="91"/>
      <c r="AO679" s="92"/>
    </row>
    <row r="680" ht="15.75" customHeight="1">
      <c r="A680" s="90"/>
      <c r="AN680" s="91"/>
      <c r="AO680" s="92"/>
    </row>
    <row r="681" ht="15.75" customHeight="1">
      <c r="A681" s="90"/>
      <c r="AN681" s="91"/>
      <c r="AO681" s="92"/>
    </row>
    <row r="682" ht="15.75" customHeight="1">
      <c r="A682" s="90"/>
      <c r="AN682" s="91"/>
      <c r="AO682" s="92"/>
    </row>
    <row r="683" ht="15.75" customHeight="1">
      <c r="A683" s="90"/>
      <c r="AN683" s="91"/>
      <c r="AO683" s="92"/>
    </row>
    <row r="684" ht="15.75" customHeight="1">
      <c r="A684" s="90"/>
      <c r="AN684" s="91"/>
      <c r="AO684" s="92"/>
    </row>
    <row r="685" ht="15.75" customHeight="1">
      <c r="A685" s="90"/>
      <c r="AN685" s="91"/>
      <c r="AO685" s="92"/>
    </row>
    <row r="686" ht="15.75" customHeight="1">
      <c r="A686" s="90"/>
      <c r="AN686" s="91"/>
      <c r="AO686" s="92"/>
    </row>
    <row r="687" ht="15.75" customHeight="1">
      <c r="A687" s="90"/>
      <c r="AN687" s="91"/>
      <c r="AO687" s="92"/>
    </row>
    <row r="688" ht="15.75" customHeight="1">
      <c r="A688" s="90"/>
      <c r="AN688" s="91"/>
      <c r="AO688" s="92"/>
    </row>
    <row r="689" ht="15.75" customHeight="1">
      <c r="A689" s="90"/>
      <c r="AN689" s="91"/>
      <c r="AO689" s="92"/>
    </row>
    <row r="690" ht="15.75" customHeight="1">
      <c r="A690" s="90"/>
      <c r="AN690" s="91"/>
      <c r="AO690" s="92"/>
    </row>
    <row r="691" ht="15.75" customHeight="1">
      <c r="A691" s="90"/>
      <c r="AN691" s="91"/>
      <c r="AO691" s="92"/>
    </row>
    <row r="692" ht="15.75" customHeight="1">
      <c r="A692" s="90"/>
      <c r="AN692" s="91"/>
      <c r="AO692" s="92"/>
    </row>
    <row r="693" ht="15.75" customHeight="1">
      <c r="A693" s="90"/>
      <c r="AN693" s="91"/>
      <c r="AO693" s="92"/>
    </row>
    <row r="694" ht="15.75" customHeight="1">
      <c r="A694" s="90"/>
      <c r="AN694" s="91"/>
      <c r="AO694" s="92"/>
    </row>
    <row r="695" ht="15.75" customHeight="1">
      <c r="A695" s="90"/>
      <c r="AN695" s="91"/>
      <c r="AO695" s="92"/>
    </row>
    <row r="696" ht="15.75" customHeight="1">
      <c r="A696" s="90"/>
      <c r="AN696" s="91"/>
      <c r="AO696" s="92"/>
    </row>
    <row r="697" ht="15.75" customHeight="1">
      <c r="A697" s="90"/>
      <c r="AN697" s="91"/>
      <c r="AO697" s="92"/>
    </row>
    <row r="698" ht="15.75" customHeight="1">
      <c r="A698" s="90"/>
      <c r="AN698" s="91"/>
      <c r="AO698" s="92"/>
    </row>
    <row r="699" ht="15.75" customHeight="1">
      <c r="A699" s="90"/>
      <c r="AN699" s="91"/>
      <c r="AO699" s="92"/>
    </row>
    <row r="700" ht="15.75" customHeight="1">
      <c r="A700" s="90"/>
      <c r="AN700" s="91"/>
      <c r="AO700" s="92"/>
    </row>
    <row r="701" ht="15.75" customHeight="1">
      <c r="A701" s="90"/>
      <c r="AN701" s="91"/>
      <c r="AO701" s="92"/>
    </row>
    <row r="702" ht="15.75" customHeight="1">
      <c r="A702" s="90"/>
      <c r="AN702" s="91"/>
      <c r="AO702" s="92"/>
    </row>
    <row r="703" ht="15.75" customHeight="1">
      <c r="A703" s="90"/>
      <c r="AN703" s="91"/>
      <c r="AO703" s="92"/>
    </row>
    <row r="704" ht="15.75" customHeight="1">
      <c r="A704" s="90"/>
      <c r="AN704" s="91"/>
      <c r="AO704" s="92"/>
    </row>
    <row r="705" ht="15.75" customHeight="1">
      <c r="A705" s="90"/>
      <c r="AN705" s="91"/>
      <c r="AO705" s="92"/>
    </row>
    <row r="706" ht="15.75" customHeight="1">
      <c r="A706" s="90"/>
      <c r="AN706" s="91"/>
      <c r="AO706" s="92"/>
    </row>
    <row r="707" ht="15.75" customHeight="1">
      <c r="A707" s="90"/>
      <c r="AN707" s="91"/>
      <c r="AO707" s="92"/>
    </row>
    <row r="708" ht="15.75" customHeight="1">
      <c r="A708" s="90"/>
      <c r="AN708" s="91"/>
      <c r="AO708" s="92"/>
    </row>
    <row r="709" ht="15.75" customHeight="1">
      <c r="A709" s="90"/>
      <c r="AN709" s="91"/>
      <c r="AO709" s="92"/>
    </row>
    <row r="710" ht="15.75" customHeight="1">
      <c r="A710" s="90"/>
      <c r="AN710" s="91"/>
      <c r="AO710" s="92"/>
    </row>
    <row r="711" ht="15.75" customHeight="1">
      <c r="A711" s="90"/>
      <c r="AN711" s="91"/>
      <c r="AO711" s="92"/>
    </row>
    <row r="712" ht="15.75" customHeight="1">
      <c r="A712" s="90"/>
      <c r="AN712" s="91"/>
      <c r="AO712" s="92"/>
    </row>
    <row r="713" ht="15.75" customHeight="1">
      <c r="A713" s="90"/>
      <c r="AN713" s="91"/>
      <c r="AO713" s="92"/>
    </row>
    <row r="714" ht="15.75" customHeight="1">
      <c r="A714" s="90"/>
      <c r="AN714" s="91"/>
      <c r="AO714" s="92"/>
    </row>
    <row r="715" ht="15.75" customHeight="1">
      <c r="A715" s="90"/>
      <c r="AN715" s="91"/>
      <c r="AO715" s="92"/>
    </row>
    <row r="716" ht="15.75" customHeight="1">
      <c r="A716" s="90"/>
      <c r="AN716" s="91"/>
      <c r="AO716" s="92"/>
    </row>
    <row r="717" ht="15.75" customHeight="1">
      <c r="A717" s="90"/>
      <c r="AN717" s="91"/>
      <c r="AO717" s="92"/>
    </row>
    <row r="718" ht="15.75" customHeight="1">
      <c r="A718" s="90"/>
      <c r="AN718" s="91"/>
      <c r="AO718" s="92"/>
    </row>
    <row r="719" ht="15.75" customHeight="1">
      <c r="A719" s="90"/>
      <c r="AN719" s="91"/>
      <c r="AO719" s="92"/>
    </row>
    <row r="720" ht="15.75" customHeight="1">
      <c r="A720" s="90"/>
      <c r="AN720" s="91"/>
      <c r="AO720" s="92"/>
    </row>
    <row r="721" ht="15.75" customHeight="1">
      <c r="A721" s="90"/>
      <c r="AN721" s="91"/>
      <c r="AO721" s="92"/>
    </row>
    <row r="722" ht="15.75" customHeight="1">
      <c r="A722" s="90"/>
      <c r="AN722" s="91"/>
      <c r="AO722" s="92"/>
    </row>
    <row r="723" ht="15.75" customHeight="1">
      <c r="A723" s="90"/>
      <c r="AN723" s="91"/>
      <c r="AO723" s="92"/>
    </row>
    <row r="724" ht="15.75" customHeight="1">
      <c r="A724" s="90"/>
      <c r="AN724" s="91"/>
      <c r="AO724" s="92"/>
    </row>
    <row r="725" ht="15.75" customHeight="1">
      <c r="A725" s="90"/>
      <c r="AN725" s="91"/>
      <c r="AO725" s="92"/>
    </row>
    <row r="726" ht="15.75" customHeight="1">
      <c r="A726" s="90"/>
      <c r="AN726" s="91"/>
      <c r="AO726" s="92"/>
    </row>
    <row r="727" ht="15.75" customHeight="1">
      <c r="A727" s="90"/>
      <c r="AN727" s="91"/>
      <c r="AO727" s="92"/>
    </row>
    <row r="728" ht="15.75" customHeight="1">
      <c r="A728" s="90"/>
      <c r="AN728" s="91"/>
      <c r="AO728" s="92"/>
    </row>
    <row r="729" ht="15.75" customHeight="1">
      <c r="A729" s="90"/>
      <c r="AN729" s="91"/>
      <c r="AO729" s="92"/>
    </row>
    <row r="730" ht="15.75" customHeight="1">
      <c r="A730" s="90"/>
      <c r="AN730" s="91"/>
      <c r="AO730" s="92"/>
    </row>
    <row r="731" ht="15.75" customHeight="1">
      <c r="A731" s="90"/>
      <c r="AN731" s="91"/>
      <c r="AO731" s="92"/>
    </row>
    <row r="732" ht="15.75" customHeight="1">
      <c r="A732" s="90"/>
      <c r="AN732" s="91"/>
      <c r="AO732" s="92"/>
    </row>
    <row r="733" ht="15.75" customHeight="1">
      <c r="A733" s="90"/>
      <c r="AN733" s="91"/>
      <c r="AO733" s="92"/>
    </row>
    <row r="734" ht="15.75" customHeight="1">
      <c r="A734" s="90"/>
      <c r="AN734" s="91"/>
      <c r="AO734" s="92"/>
    </row>
    <row r="735" ht="15.75" customHeight="1">
      <c r="A735" s="90"/>
      <c r="AN735" s="91"/>
      <c r="AO735" s="92"/>
    </row>
    <row r="736" ht="15.75" customHeight="1">
      <c r="A736" s="90"/>
      <c r="AN736" s="91"/>
      <c r="AO736" s="92"/>
    </row>
    <row r="737" ht="15.75" customHeight="1">
      <c r="A737" s="90"/>
      <c r="AN737" s="91"/>
      <c r="AO737" s="92"/>
    </row>
    <row r="738" ht="15.75" customHeight="1">
      <c r="A738" s="90"/>
      <c r="AN738" s="91"/>
      <c r="AO738" s="92"/>
    </row>
    <row r="739" ht="15.75" customHeight="1">
      <c r="A739" s="90"/>
      <c r="AN739" s="91"/>
      <c r="AO739" s="92"/>
    </row>
    <row r="740" ht="15.75" customHeight="1">
      <c r="A740" s="90"/>
      <c r="AN740" s="91"/>
      <c r="AO740" s="92"/>
    </row>
    <row r="741" ht="15.75" customHeight="1">
      <c r="A741" s="90"/>
      <c r="AN741" s="91"/>
      <c r="AO741" s="92"/>
    </row>
    <row r="742" ht="15.75" customHeight="1">
      <c r="A742" s="90"/>
      <c r="AN742" s="91"/>
      <c r="AO742" s="92"/>
    </row>
    <row r="743" ht="15.75" customHeight="1">
      <c r="A743" s="90"/>
      <c r="AN743" s="91"/>
      <c r="AO743" s="92"/>
    </row>
    <row r="744" ht="15.75" customHeight="1">
      <c r="A744" s="90"/>
      <c r="AN744" s="91"/>
      <c r="AO744" s="92"/>
    </row>
    <row r="745" ht="15.75" customHeight="1">
      <c r="A745" s="90"/>
      <c r="AN745" s="91"/>
      <c r="AO745" s="92"/>
    </row>
    <row r="746" ht="15.75" customHeight="1">
      <c r="A746" s="90"/>
      <c r="AN746" s="91"/>
      <c r="AO746" s="92"/>
    </row>
    <row r="747" ht="15.75" customHeight="1">
      <c r="A747" s="90"/>
      <c r="AN747" s="91"/>
      <c r="AO747" s="92"/>
    </row>
    <row r="748" ht="15.75" customHeight="1">
      <c r="A748" s="90"/>
      <c r="AN748" s="91"/>
      <c r="AO748" s="92"/>
    </row>
    <row r="749" ht="15.75" customHeight="1">
      <c r="A749" s="90"/>
      <c r="AN749" s="91"/>
      <c r="AO749" s="92"/>
    </row>
    <row r="750" ht="15.75" customHeight="1">
      <c r="A750" s="90"/>
      <c r="AN750" s="91"/>
      <c r="AO750" s="92"/>
    </row>
    <row r="751" ht="15.75" customHeight="1">
      <c r="A751" s="90"/>
      <c r="AN751" s="91"/>
      <c r="AO751" s="92"/>
    </row>
    <row r="752" ht="15.75" customHeight="1">
      <c r="A752" s="90"/>
      <c r="AN752" s="91"/>
      <c r="AO752" s="92"/>
    </row>
    <row r="753" ht="15.75" customHeight="1">
      <c r="A753" s="90"/>
      <c r="AN753" s="91"/>
      <c r="AO753" s="92"/>
    </row>
    <row r="754" ht="15.75" customHeight="1">
      <c r="A754" s="90"/>
      <c r="AN754" s="91"/>
      <c r="AO754" s="92"/>
    </row>
    <row r="755" ht="15.75" customHeight="1">
      <c r="A755" s="90"/>
      <c r="AN755" s="91"/>
      <c r="AO755" s="92"/>
    </row>
    <row r="756" ht="15.75" customHeight="1">
      <c r="A756" s="90"/>
      <c r="AN756" s="91"/>
      <c r="AO756" s="92"/>
    </row>
    <row r="757" ht="15.75" customHeight="1">
      <c r="A757" s="90"/>
      <c r="AN757" s="91"/>
      <c r="AO757" s="92"/>
    </row>
    <row r="758" ht="15.75" customHeight="1">
      <c r="A758" s="90"/>
      <c r="AN758" s="91"/>
      <c r="AO758" s="92"/>
    </row>
    <row r="759" ht="15.75" customHeight="1">
      <c r="A759" s="90"/>
      <c r="AN759" s="91"/>
      <c r="AO759" s="92"/>
    </row>
    <row r="760" ht="15.75" customHeight="1">
      <c r="A760" s="90"/>
      <c r="AN760" s="91"/>
      <c r="AO760" s="92"/>
    </row>
    <row r="761" ht="15.75" customHeight="1">
      <c r="A761" s="90"/>
      <c r="AN761" s="91"/>
      <c r="AO761" s="92"/>
    </row>
    <row r="762" ht="15.75" customHeight="1">
      <c r="A762" s="90"/>
      <c r="AN762" s="91"/>
      <c r="AO762" s="92"/>
    </row>
    <row r="763" ht="15.75" customHeight="1">
      <c r="A763" s="90"/>
      <c r="AN763" s="91"/>
      <c r="AO763" s="92"/>
    </row>
    <row r="764" ht="15.75" customHeight="1">
      <c r="A764" s="90"/>
      <c r="AN764" s="91"/>
      <c r="AO764" s="92"/>
    </row>
    <row r="765" ht="15.75" customHeight="1">
      <c r="A765" s="90"/>
      <c r="AN765" s="91"/>
      <c r="AO765" s="92"/>
    </row>
    <row r="766" ht="15.75" customHeight="1">
      <c r="A766" s="90"/>
      <c r="AN766" s="91"/>
      <c r="AO766" s="92"/>
    </row>
    <row r="767" ht="15.75" customHeight="1">
      <c r="A767" s="90"/>
      <c r="AN767" s="91"/>
      <c r="AO767" s="92"/>
    </row>
    <row r="768" ht="15.75" customHeight="1">
      <c r="A768" s="90"/>
      <c r="AN768" s="91"/>
      <c r="AO768" s="92"/>
    </row>
    <row r="769" ht="15.75" customHeight="1">
      <c r="A769" s="90"/>
      <c r="AN769" s="91"/>
      <c r="AO769" s="92"/>
    </row>
    <row r="770" ht="15.75" customHeight="1">
      <c r="A770" s="90"/>
      <c r="AN770" s="91"/>
      <c r="AO770" s="92"/>
    </row>
    <row r="771" ht="15.75" customHeight="1">
      <c r="A771" s="90"/>
      <c r="AN771" s="91"/>
      <c r="AO771" s="92"/>
    </row>
    <row r="772" ht="15.75" customHeight="1">
      <c r="A772" s="90"/>
      <c r="AN772" s="91"/>
      <c r="AO772" s="92"/>
    </row>
    <row r="773" ht="15.75" customHeight="1">
      <c r="A773" s="90"/>
      <c r="AN773" s="91"/>
      <c r="AO773" s="92"/>
    </row>
    <row r="774" ht="15.75" customHeight="1">
      <c r="A774" s="90"/>
      <c r="AN774" s="91"/>
      <c r="AO774" s="92"/>
    </row>
    <row r="775" ht="15.75" customHeight="1">
      <c r="A775" s="90"/>
      <c r="AN775" s="91"/>
      <c r="AO775" s="92"/>
    </row>
    <row r="776" ht="15.75" customHeight="1">
      <c r="A776" s="90"/>
      <c r="AN776" s="91"/>
      <c r="AO776" s="92"/>
    </row>
    <row r="777" ht="15.75" customHeight="1">
      <c r="A777" s="90"/>
      <c r="AN777" s="91"/>
      <c r="AO777" s="92"/>
    </row>
    <row r="778" ht="15.75" customHeight="1">
      <c r="A778" s="90"/>
      <c r="AN778" s="91"/>
      <c r="AO778" s="92"/>
    </row>
    <row r="779" ht="15.75" customHeight="1">
      <c r="A779" s="90"/>
      <c r="AN779" s="91"/>
      <c r="AO779" s="92"/>
    </row>
    <row r="780" ht="15.75" customHeight="1">
      <c r="A780" s="90"/>
      <c r="AN780" s="91"/>
      <c r="AO780" s="92"/>
    </row>
    <row r="781" ht="15.75" customHeight="1">
      <c r="A781" s="90"/>
      <c r="AN781" s="91"/>
      <c r="AO781" s="92"/>
    </row>
    <row r="782" ht="15.75" customHeight="1">
      <c r="A782" s="90"/>
      <c r="AN782" s="91"/>
      <c r="AO782" s="92"/>
    </row>
    <row r="783" ht="15.75" customHeight="1">
      <c r="A783" s="90"/>
      <c r="AN783" s="91"/>
      <c r="AO783" s="92"/>
    </row>
    <row r="784" ht="15.75" customHeight="1">
      <c r="A784" s="90"/>
      <c r="AN784" s="91"/>
      <c r="AO784" s="92"/>
    </row>
    <row r="785" ht="15.75" customHeight="1">
      <c r="A785" s="90"/>
      <c r="AN785" s="91"/>
      <c r="AO785" s="92"/>
    </row>
    <row r="786" ht="15.75" customHeight="1">
      <c r="A786" s="90"/>
      <c r="AN786" s="91"/>
      <c r="AO786" s="92"/>
    </row>
    <row r="787" ht="15.75" customHeight="1">
      <c r="A787" s="90"/>
      <c r="AN787" s="91"/>
      <c r="AO787" s="92"/>
    </row>
    <row r="788" ht="15.75" customHeight="1">
      <c r="A788" s="90"/>
      <c r="AN788" s="91"/>
      <c r="AO788" s="92"/>
    </row>
    <row r="789" ht="15.75" customHeight="1">
      <c r="A789" s="90"/>
      <c r="AN789" s="91"/>
      <c r="AO789" s="92"/>
    </row>
    <row r="790" ht="15.75" customHeight="1">
      <c r="A790" s="90"/>
      <c r="AN790" s="91"/>
      <c r="AO790" s="92"/>
    </row>
    <row r="791" ht="15.75" customHeight="1">
      <c r="A791" s="90"/>
      <c r="AN791" s="91"/>
      <c r="AO791" s="92"/>
    </row>
    <row r="792" ht="15.75" customHeight="1">
      <c r="A792" s="90"/>
      <c r="AN792" s="91"/>
      <c r="AO792" s="92"/>
    </row>
    <row r="793" ht="15.75" customHeight="1">
      <c r="A793" s="90"/>
      <c r="AN793" s="91"/>
      <c r="AO793" s="92"/>
    </row>
    <row r="794" ht="15.75" customHeight="1">
      <c r="A794" s="90"/>
      <c r="AN794" s="91"/>
      <c r="AO794" s="92"/>
    </row>
    <row r="795" ht="15.75" customHeight="1">
      <c r="A795" s="90"/>
      <c r="AN795" s="91"/>
      <c r="AO795" s="92"/>
    </row>
    <row r="796" ht="15.75" customHeight="1">
      <c r="A796" s="90"/>
      <c r="AN796" s="91"/>
      <c r="AO796" s="92"/>
    </row>
    <row r="797" ht="15.75" customHeight="1">
      <c r="A797" s="90"/>
      <c r="AN797" s="91"/>
      <c r="AO797" s="92"/>
    </row>
    <row r="798" ht="15.75" customHeight="1">
      <c r="A798" s="90"/>
      <c r="AN798" s="91"/>
      <c r="AO798" s="92"/>
    </row>
    <row r="799" ht="15.75" customHeight="1">
      <c r="A799" s="90"/>
      <c r="AN799" s="91"/>
      <c r="AO799" s="92"/>
    </row>
    <row r="800" ht="15.75" customHeight="1">
      <c r="A800" s="90"/>
      <c r="AN800" s="91"/>
      <c r="AO800" s="92"/>
    </row>
    <row r="801" ht="15.75" customHeight="1">
      <c r="A801" s="90"/>
      <c r="AN801" s="91"/>
      <c r="AO801" s="92"/>
    </row>
    <row r="802" ht="15.75" customHeight="1">
      <c r="A802" s="90"/>
      <c r="AN802" s="91"/>
      <c r="AO802" s="92"/>
    </row>
    <row r="803" ht="15.75" customHeight="1">
      <c r="A803" s="90"/>
      <c r="AN803" s="91"/>
      <c r="AO803" s="92"/>
    </row>
    <row r="804" ht="15.75" customHeight="1">
      <c r="A804" s="90"/>
      <c r="AN804" s="91"/>
      <c r="AO804" s="92"/>
    </row>
    <row r="805" ht="15.75" customHeight="1">
      <c r="A805" s="90"/>
      <c r="AN805" s="91"/>
      <c r="AO805" s="92"/>
    </row>
    <row r="806" ht="15.75" customHeight="1">
      <c r="A806" s="90"/>
      <c r="AN806" s="91"/>
      <c r="AO806" s="92"/>
    </row>
    <row r="807" ht="15.75" customHeight="1">
      <c r="A807" s="90"/>
      <c r="AN807" s="91"/>
      <c r="AO807" s="92"/>
    </row>
    <row r="808" ht="15.75" customHeight="1">
      <c r="A808" s="90"/>
      <c r="AN808" s="91"/>
      <c r="AO808" s="92"/>
    </row>
    <row r="809" ht="15.75" customHeight="1">
      <c r="A809" s="90"/>
      <c r="AN809" s="91"/>
      <c r="AO809" s="92"/>
    </row>
    <row r="810" ht="15.75" customHeight="1">
      <c r="A810" s="90"/>
      <c r="AN810" s="91"/>
      <c r="AO810" s="92"/>
    </row>
    <row r="811" ht="15.75" customHeight="1">
      <c r="A811" s="90"/>
      <c r="AN811" s="91"/>
      <c r="AO811" s="92"/>
    </row>
    <row r="812" ht="15.75" customHeight="1">
      <c r="A812" s="90"/>
      <c r="AN812" s="91"/>
      <c r="AO812" s="92"/>
    </row>
    <row r="813" ht="15.75" customHeight="1">
      <c r="A813" s="90"/>
      <c r="AN813" s="91"/>
      <c r="AO813" s="92"/>
    </row>
    <row r="814" ht="15.75" customHeight="1">
      <c r="A814" s="90"/>
      <c r="AN814" s="91"/>
      <c r="AO814" s="92"/>
    </row>
    <row r="815" ht="15.75" customHeight="1">
      <c r="A815" s="90"/>
      <c r="AN815" s="91"/>
      <c r="AO815" s="92"/>
    </row>
    <row r="816" ht="15.75" customHeight="1">
      <c r="A816" s="90"/>
      <c r="AN816" s="91"/>
      <c r="AO816" s="92"/>
    </row>
    <row r="817" ht="15.75" customHeight="1">
      <c r="A817" s="90"/>
      <c r="AN817" s="91"/>
      <c r="AO817" s="92"/>
    </row>
    <row r="818" ht="15.75" customHeight="1">
      <c r="A818" s="90"/>
      <c r="AN818" s="91"/>
      <c r="AO818" s="92"/>
    </row>
    <row r="819" ht="15.75" customHeight="1">
      <c r="A819" s="90"/>
      <c r="AN819" s="91"/>
      <c r="AO819" s="92"/>
    </row>
    <row r="820" ht="15.75" customHeight="1">
      <c r="A820" s="90"/>
      <c r="AN820" s="91"/>
      <c r="AO820" s="92"/>
    </row>
    <row r="821" ht="15.75" customHeight="1">
      <c r="A821" s="90"/>
      <c r="AN821" s="91"/>
      <c r="AO821" s="92"/>
    </row>
    <row r="822" ht="15.75" customHeight="1">
      <c r="A822" s="90"/>
      <c r="AN822" s="91"/>
      <c r="AO822" s="92"/>
    </row>
    <row r="823" ht="15.75" customHeight="1">
      <c r="A823" s="90"/>
      <c r="AN823" s="91"/>
      <c r="AO823" s="92"/>
    </row>
    <row r="824" ht="15.75" customHeight="1">
      <c r="A824" s="90"/>
      <c r="AN824" s="91"/>
      <c r="AO824" s="92"/>
    </row>
    <row r="825" ht="15.75" customHeight="1">
      <c r="A825" s="90"/>
      <c r="AN825" s="91"/>
      <c r="AO825" s="92"/>
    </row>
    <row r="826" ht="15.75" customHeight="1">
      <c r="A826" s="90"/>
      <c r="AN826" s="91"/>
      <c r="AO826" s="92"/>
    </row>
    <row r="827" ht="15.75" customHeight="1">
      <c r="A827" s="90"/>
      <c r="AN827" s="91"/>
      <c r="AO827" s="92"/>
    </row>
    <row r="828" ht="15.75" customHeight="1">
      <c r="A828" s="90"/>
      <c r="AN828" s="91"/>
      <c r="AO828" s="92"/>
    </row>
    <row r="829" ht="15.75" customHeight="1">
      <c r="A829" s="90"/>
      <c r="AN829" s="91"/>
      <c r="AO829" s="92"/>
    </row>
    <row r="830" ht="15.75" customHeight="1">
      <c r="A830" s="90"/>
      <c r="AN830" s="91"/>
      <c r="AO830" s="92"/>
    </row>
    <row r="831" ht="15.75" customHeight="1">
      <c r="A831" s="90"/>
      <c r="AN831" s="91"/>
      <c r="AO831" s="92"/>
    </row>
    <row r="832" ht="15.75" customHeight="1">
      <c r="A832" s="90"/>
      <c r="AN832" s="91"/>
      <c r="AO832" s="92"/>
    </row>
    <row r="833" ht="15.75" customHeight="1">
      <c r="A833" s="90"/>
      <c r="AN833" s="91"/>
      <c r="AO833" s="92"/>
    </row>
    <row r="834" ht="15.75" customHeight="1">
      <c r="A834" s="90"/>
      <c r="AN834" s="91"/>
      <c r="AO834" s="92"/>
    </row>
    <row r="835" ht="15.75" customHeight="1">
      <c r="A835" s="90"/>
      <c r="AN835" s="91"/>
      <c r="AO835" s="92"/>
    </row>
    <row r="836" ht="15.75" customHeight="1">
      <c r="A836" s="90"/>
      <c r="AN836" s="91"/>
      <c r="AO836" s="92"/>
    </row>
    <row r="837" ht="15.75" customHeight="1">
      <c r="A837" s="90"/>
      <c r="AN837" s="91"/>
      <c r="AO837" s="92"/>
    </row>
    <row r="838" ht="15.75" customHeight="1">
      <c r="A838" s="90"/>
      <c r="AN838" s="91"/>
      <c r="AO838" s="92"/>
    </row>
    <row r="839" ht="15.75" customHeight="1">
      <c r="A839" s="90"/>
      <c r="AN839" s="91"/>
      <c r="AO839" s="92"/>
    </row>
    <row r="840" ht="15.75" customHeight="1">
      <c r="A840" s="90"/>
      <c r="AN840" s="91"/>
      <c r="AO840" s="92"/>
    </row>
    <row r="841" ht="15.75" customHeight="1">
      <c r="A841" s="90"/>
      <c r="AN841" s="91"/>
      <c r="AO841" s="92"/>
    </row>
    <row r="842" ht="15.75" customHeight="1">
      <c r="A842" s="90"/>
      <c r="AN842" s="91"/>
      <c r="AO842" s="92"/>
    </row>
    <row r="843" ht="15.75" customHeight="1">
      <c r="A843" s="90"/>
      <c r="AN843" s="91"/>
      <c r="AO843" s="92"/>
    </row>
    <row r="844" ht="15.75" customHeight="1">
      <c r="A844" s="90"/>
      <c r="AN844" s="91"/>
      <c r="AO844" s="92"/>
    </row>
    <row r="845" ht="15.75" customHeight="1">
      <c r="A845" s="90"/>
      <c r="AN845" s="91"/>
      <c r="AO845" s="92"/>
    </row>
    <row r="846" ht="15.75" customHeight="1">
      <c r="A846" s="90"/>
      <c r="AN846" s="91"/>
      <c r="AO846" s="92"/>
    </row>
    <row r="847" ht="15.75" customHeight="1">
      <c r="A847" s="90"/>
      <c r="AN847" s="91"/>
      <c r="AO847" s="92"/>
    </row>
    <row r="848" ht="15.75" customHeight="1">
      <c r="A848" s="90"/>
      <c r="AN848" s="91"/>
      <c r="AO848" s="92"/>
    </row>
    <row r="849" ht="15.75" customHeight="1">
      <c r="A849" s="90"/>
      <c r="AN849" s="91"/>
      <c r="AO849" s="92"/>
    </row>
    <row r="850" ht="15.75" customHeight="1">
      <c r="A850" s="90"/>
      <c r="AN850" s="91"/>
      <c r="AO850" s="92"/>
    </row>
    <row r="851" ht="15.75" customHeight="1">
      <c r="A851" s="90"/>
      <c r="AN851" s="91"/>
      <c r="AO851" s="92"/>
    </row>
    <row r="852" ht="15.75" customHeight="1">
      <c r="A852" s="90"/>
      <c r="AN852" s="91"/>
      <c r="AO852" s="92"/>
    </row>
    <row r="853" ht="15.75" customHeight="1">
      <c r="A853" s="90"/>
      <c r="AN853" s="91"/>
      <c r="AO853" s="92"/>
    </row>
    <row r="854" ht="15.75" customHeight="1">
      <c r="A854" s="90"/>
      <c r="AN854" s="91"/>
      <c r="AO854" s="92"/>
    </row>
    <row r="855" ht="15.75" customHeight="1">
      <c r="A855" s="90"/>
      <c r="AN855" s="91"/>
      <c r="AO855" s="92"/>
    </row>
    <row r="856" ht="15.75" customHeight="1">
      <c r="A856" s="90"/>
      <c r="AN856" s="91"/>
      <c r="AO856" s="92"/>
    </row>
    <row r="857" ht="15.75" customHeight="1">
      <c r="A857" s="90"/>
      <c r="AN857" s="91"/>
      <c r="AO857" s="92"/>
    </row>
    <row r="858" ht="15.75" customHeight="1">
      <c r="A858" s="90"/>
      <c r="AN858" s="91"/>
      <c r="AO858" s="92"/>
    </row>
    <row r="859" ht="15.75" customHeight="1">
      <c r="A859" s="90"/>
      <c r="AN859" s="91"/>
      <c r="AO859" s="92"/>
    </row>
    <row r="860" ht="15.75" customHeight="1">
      <c r="A860" s="90"/>
      <c r="AN860" s="91"/>
      <c r="AO860" s="92"/>
    </row>
    <row r="861" ht="15.75" customHeight="1">
      <c r="A861" s="90"/>
      <c r="AN861" s="91"/>
      <c r="AO861" s="92"/>
    </row>
    <row r="862" ht="15.75" customHeight="1">
      <c r="A862" s="90"/>
      <c r="AN862" s="91"/>
      <c r="AO862" s="92"/>
    </row>
    <row r="863" ht="15.75" customHeight="1">
      <c r="A863" s="90"/>
      <c r="AN863" s="91"/>
      <c r="AO863" s="92"/>
    </row>
    <row r="864" ht="15.75" customHeight="1">
      <c r="A864" s="90"/>
      <c r="AN864" s="91"/>
      <c r="AO864" s="92"/>
    </row>
    <row r="865" ht="15.75" customHeight="1">
      <c r="A865" s="90"/>
      <c r="AN865" s="91"/>
      <c r="AO865" s="92"/>
    </row>
    <row r="866" ht="15.75" customHeight="1">
      <c r="A866" s="90"/>
      <c r="AN866" s="91"/>
      <c r="AO866" s="92"/>
    </row>
    <row r="867" ht="15.75" customHeight="1">
      <c r="A867" s="90"/>
      <c r="AN867" s="91"/>
      <c r="AO867" s="92"/>
    </row>
    <row r="868" ht="15.75" customHeight="1">
      <c r="A868" s="90"/>
      <c r="AN868" s="91"/>
      <c r="AO868" s="92"/>
    </row>
    <row r="869" ht="15.75" customHeight="1">
      <c r="A869" s="90"/>
      <c r="AN869" s="91"/>
      <c r="AO869" s="92"/>
    </row>
    <row r="870" ht="15.75" customHeight="1">
      <c r="A870" s="90"/>
      <c r="AN870" s="91"/>
      <c r="AO870" s="92"/>
    </row>
    <row r="871" ht="15.75" customHeight="1">
      <c r="A871" s="90"/>
      <c r="AN871" s="91"/>
      <c r="AO871" s="92"/>
    </row>
    <row r="872" ht="15.75" customHeight="1">
      <c r="A872" s="90"/>
      <c r="AN872" s="91"/>
      <c r="AO872" s="92"/>
    </row>
    <row r="873" ht="15.75" customHeight="1">
      <c r="A873" s="90"/>
      <c r="AN873" s="91"/>
      <c r="AO873" s="92"/>
    </row>
    <row r="874" ht="15.75" customHeight="1">
      <c r="A874" s="90"/>
      <c r="AN874" s="91"/>
      <c r="AO874" s="92"/>
    </row>
    <row r="875" ht="15.75" customHeight="1">
      <c r="A875" s="90"/>
      <c r="AN875" s="91"/>
      <c r="AO875" s="92"/>
    </row>
    <row r="876" ht="15.75" customHeight="1">
      <c r="A876" s="90"/>
      <c r="AN876" s="91"/>
      <c r="AO876" s="92"/>
    </row>
    <row r="877" ht="15.75" customHeight="1">
      <c r="A877" s="90"/>
      <c r="AN877" s="91"/>
      <c r="AO877" s="92"/>
    </row>
    <row r="878" ht="15.75" customHeight="1">
      <c r="A878" s="90"/>
      <c r="AN878" s="91"/>
      <c r="AO878" s="92"/>
    </row>
    <row r="879" ht="15.75" customHeight="1">
      <c r="A879" s="90"/>
      <c r="AN879" s="91"/>
      <c r="AO879" s="92"/>
    </row>
    <row r="880" ht="15.75" customHeight="1">
      <c r="A880" s="90"/>
      <c r="AN880" s="91"/>
      <c r="AO880" s="92"/>
    </row>
    <row r="881" ht="15.75" customHeight="1">
      <c r="A881" s="90"/>
      <c r="AN881" s="91"/>
      <c r="AO881" s="92"/>
    </row>
    <row r="882" ht="15.75" customHeight="1">
      <c r="A882" s="90"/>
      <c r="AN882" s="91"/>
      <c r="AO882" s="92"/>
    </row>
    <row r="883" ht="15.75" customHeight="1">
      <c r="A883" s="90"/>
      <c r="AN883" s="91"/>
      <c r="AO883" s="92"/>
    </row>
    <row r="884" ht="15.75" customHeight="1">
      <c r="A884" s="90"/>
      <c r="AN884" s="91"/>
      <c r="AO884" s="92"/>
    </row>
    <row r="885" ht="15.75" customHeight="1">
      <c r="A885" s="90"/>
      <c r="AN885" s="91"/>
      <c r="AO885" s="92"/>
    </row>
    <row r="886" ht="15.75" customHeight="1">
      <c r="A886" s="90"/>
      <c r="AN886" s="91"/>
      <c r="AO886" s="92"/>
    </row>
    <row r="887" ht="15.75" customHeight="1">
      <c r="A887" s="90"/>
      <c r="AN887" s="91"/>
      <c r="AO887" s="92"/>
    </row>
    <row r="888" ht="15.75" customHeight="1">
      <c r="A888" s="90"/>
      <c r="AN888" s="91"/>
      <c r="AO888" s="92"/>
    </row>
    <row r="889" ht="15.75" customHeight="1">
      <c r="A889" s="90"/>
      <c r="AN889" s="91"/>
      <c r="AO889" s="92"/>
    </row>
    <row r="890" ht="15.75" customHeight="1">
      <c r="A890" s="90"/>
      <c r="AN890" s="91"/>
      <c r="AO890" s="92"/>
    </row>
    <row r="891" ht="15.75" customHeight="1">
      <c r="A891" s="90"/>
      <c r="AN891" s="91"/>
      <c r="AO891" s="92"/>
    </row>
    <row r="892" ht="15.75" customHeight="1">
      <c r="A892" s="90"/>
      <c r="AN892" s="91"/>
      <c r="AO892" s="92"/>
    </row>
    <row r="893" ht="15.75" customHeight="1">
      <c r="A893" s="90"/>
      <c r="AN893" s="91"/>
      <c r="AO893" s="92"/>
    </row>
    <row r="894" ht="15.75" customHeight="1">
      <c r="A894" s="90"/>
      <c r="AN894" s="91"/>
      <c r="AO894" s="92"/>
    </row>
    <row r="895" ht="15.75" customHeight="1">
      <c r="A895" s="90"/>
      <c r="AN895" s="91"/>
      <c r="AO895" s="92"/>
    </row>
    <row r="896" ht="15.75" customHeight="1">
      <c r="A896" s="90"/>
      <c r="AN896" s="91"/>
      <c r="AO896" s="92"/>
    </row>
    <row r="897" ht="15.75" customHeight="1">
      <c r="A897" s="90"/>
      <c r="AN897" s="91"/>
      <c r="AO897" s="92"/>
    </row>
    <row r="898" ht="15.75" customHeight="1">
      <c r="A898" s="90"/>
      <c r="AN898" s="91"/>
      <c r="AO898" s="92"/>
    </row>
    <row r="899" ht="15.75" customHeight="1">
      <c r="A899" s="90"/>
      <c r="AN899" s="91"/>
      <c r="AO899" s="92"/>
    </row>
    <row r="900" ht="15.75" customHeight="1">
      <c r="A900" s="90"/>
      <c r="AN900" s="91"/>
      <c r="AO900" s="92"/>
    </row>
    <row r="901" ht="15.75" customHeight="1">
      <c r="A901" s="90"/>
      <c r="AN901" s="91"/>
      <c r="AO901" s="92"/>
    </row>
    <row r="902" ht="15.75" customHeight="1">
      <c r="A902" s="90"/>
      <c r="AN902" s="91"/>
      <c r="AO902" s="92"/>
    </row>
    <row r="903" ht="15.75" customHeight="1">
      <c r="A903" s="90"/>
      <c r="AN903" s="91"/>
      <c r="AO903" s="92"/>
    </row>
    <row r="904" ht="15.75" customHeight="1">
      <c r="A904" s="90"/>
      <c r="AN904" s="91"/>
      <c r="AO904" s="92"/>
    </row>
    <row r="905" ht="15.75" customHeight="1">
      <c r="A905" s="90"/>
      <c r="AN905" s="91"/>
      <c r="AO905" s="92"/>
    </row>
    <row r="906" ht="15.75" customHeight="1">
      <c r="A906" s="90"/>
      <c r="AN906" s="91"/>
      <c r="AO906" s="92"/>
    </row>
    <row r="907" ht="15.75" customHeight="1">
      <c r="A907" s="90"/>
      <c r="AN907" s="91"/>
      <c r="AO907" s="92"/>
    </row>
    <row r="908" ht="15.75" customHeight="1">
      <c r="A908" s="90"/>
      <c r="AN908" s="91"/>
      <c r="AO908" s="92"/>
    </row>
    <row r="909" ht="15.75" customHeight="1">
      <c r="A909" s="90"/>
      <c r="AN909" s="91"/>
      <c r="AO909" s="92"/>
    </row>
    <row r="910" ht="15.75" customHeight="1">
      <c r="A910" s="90"/>
      <c r="AN910" s="91"/>
      <c r="AO910" s="92"/>
    </row>
    <row r="911" ht="15.75" customHeight="1">
      <c r="A911" s="90"/>
      <c r="AN911" s="91"/>
      <c r="AO911" s="92"/>
    </row>
    <row r="912" ht="15.75" customHeight="1">
      <c r="A912" s="90"/>
      <c r="AN912" s="91"/>
      <c r="AO912" s="92"/>
    </row>
    <row r="913" ht="15.75" customHeight="1">
      <c r="A913" s="90"/>
      <c r="AN913" s="91"/>
      <c r="AO913" s="92"/>
    </row>
    <row r="914" ht="15.75" customHeight="1">
      <c r="A914" s="90"/>
      <c r="AN914" s="91"/>
      <c r="AO914" s="92"/>
    </row>
    <row r="915" ht="15.75" customHeight="1">
      <c r="A915" s="90"/>
      <c r="AN915" s="91"/>
      <c r="AO915" s="92"/>
    </row>
    <row r="916" ht="15.75" customHeight="1">
      <c r="A916" s="90"/>
      <c r="AN916" s="91"/>
      <c r="AO916" s="92"/>
    </row>
    <row r="917" ht="15.75" customHeight="1">
      <c r="A917" s="90"/>
      <c r="AN917" s="91"/>
      <c r="AO917" s="92"/>
    </row>
    <row r="918" ht="15.75" customHeight="1">
      <c r="A918" s="90"/>
      <c r="AN918" s="91"/>
      <c r="AO918" s="92"/>
    </row>
    <row r="919" ht="15.75" customHeight="1">
      <c r="A919" s="90"/>
      <c r="AN919" s="91"/>
      <c r="AO919" s="92"/>
    </row>
    <row r="920" ht="15.75" customHeight="1">
      <c r="A920" s="90"/>
      <c r="AN920" s="91"/>
      <c r="AO920" s="92"/>
    </row>
    <row r="921" ht="15.75" customHeight="1">
      <c r="A921" s="90"/>
      <c r="AN921" s="91"/>
      <c r="AO921" s="92"/>
    </row>
    <row r="922" ht="15.75" customHeight="1">
      <c r="A922" s="90"/>
      <c r="AN922" s="91"/>
      <c r="AO922" s="92"/>
    </row>
    <row r="923" ht="15.75" customHeight="1">
      <c r="A923" s="90"/>
      <c r="AN923" s="91"/>
      <c r="AO923" s="92"/>
    </row>
    <row r="924" ht="15.75" customHeight="1">
      <c r="A924" s="90"/>
      <c r="AN924" s="91"/>
      <c r="AO924" s="92"/>
    </row>
    <row r="925" ht="15.75" customHeight="1">
      <c r="A925" s="90"/>
      <c r="AN925" s="91"/>
      <c r="AO925" s="92"/>
    </row>
    <row r="926" ht="15.75" customHeight="1">
      <c r="A926" s="90"/>
      <c r="AN926" s="91"/>
      <c r="AO926" s="92"/>
    </row>
    <row r="927" ht="15.75" customHeight="1">
      <c r="A927" s="90"/>
      <c r="AN927" s="91"/>
      <c r="AO927" s="92"/>
    </row>
    <row r="928" ht="15.75" customHeight="1">
      <c r="A928" s="90"/>
      <c r="AN928" s="91"/>
      <c r="AO928" s="92"/>
    </row>
    <row r="929" ht="15.75" customHeight="1">
      <c r="A929" s="90"/>
      <c r="AN929" s="91"/>
      <c r="AO929" s="92"/>
    </row>
    <row r="930" ht="15.75" customHeight="1">
      <c r="A930" s="90"/>
      <c r="AN930" s="91"/>
      <c r="AO930" s="92"/>
    </row>
    <row r="931" ht="15.75" customHeight="1">
      <c r="A931" s="90"/>
      <c r="AN931" s="91"/>
      <c r="AO931" s="92"/>
    </row>
    <row r="932" ht="15.75" customHeight="1">
      <c r="A932" s="90"/>
      <c r="AN932" s="91"/>
      <c r="AO932" s="92"/>
    </row>
    <row r="933" ht="15.75" customHeight="1">
      <c r="A933" s="90"/>
      <c r="AN933" s="91"/>
      <c r="AO933" s="92"/>
    </row>
    <row r="934" ht="15.75" customHeight="1">
      <c r="A934" s="90"/>
      <c r="AN934" s="91"/>
      <c r="AO934" s="92"/>
    </row>
    <row r="935" ht="15.75" customHeight="1">
      <c r="A935" s="90"/>
      <c r="AN935" s="91"/>
      <c r="AO935" s="92"/>
    </row>
    <row r="936" ht="15.75" customHeight="1">
      <c r="A936" s="90"/>
      <c r="AN936" s="91"/>
      <c r="AO936" s="92"/>
    </row>
    <row r="937" ht="15.75" customHeight="1">
      <c r="A937" s="90"/>
      <c r="AN937" s="91"/>
      <c r="AO937" s="92"/>
    </row>
    <row r="938" ht="15.75" customHeight="1">
      <c r="A938" s="90"/>
      <c r="AN938" s="91"/>
      <c r="AO938" s="92"/>
    </row>
    <row r="939" ht="15.75" customHeight="1">
      <c r="A939" s="90"/>
      <c r="AN939" s="91"/>
      <c r="AO939" s="92"/>
    </row>
    <row r="940" ht="15.75" customHeight="1">
      <c r="A940" s="90"/>
      <c r="AN940" s="91"/>
      <c r="AO940" s="92"/>
    </row>
    <row r="941" ht="15.75" customHeight="1">
      <c r="A941" s="90"/>
      <c r="AN941" s="91"/>
      <c r="AO941" s="92"/>
    </row>
    <row r="942" ht="15.75" customHeight="1">
      <c r="A942" s="90"/>
      <c r="AN942" s="91"/>
      <c r="AO942" s="92"/>
    </row>
    <row r="943" ht="15.75" customHeight="1">
      <c r="A943" s="90"/>
      <c r="AN943" s="91"/>
      <c r="AO943" s="92"/>
    </row>
    <row r="944" ht="15.75" customHeight="1">
      <c r="A944" s="90"/>
      <c r="AN944" s="91"/>
      <c r="AO944" s="92"/>
    </row>
    <row r="945" ht="15.75" customHeight="1">
      <c r="A945" s="90"/>
      <c r="AN945" s="91"/>
      <c r="AO945" s="92"/>
    </row>
    <row r="946" ht="15.75" customHeight="1">
      <c r="A946" s="90"/>
      <c r="AN946" s="91"/>
      <c r="AO946" s="92"/>
    </row>
    <row r="947" ht="15.75" customHeight="1">
      <c r="A947" s="90"/>
      <c r="AN947" s="91"/>
      <c r="AO947" s="92"/>
    </row>
    <row r="948" ht="15.75" customHeight="1">
      <c r="A948" s="90"/>
      <c r="AN948" s="91"/>
      <c r="AO948" s="92"/>
    </row>
    <row r="949" ht="15.75" customHeight="1">
      <c r="A949" s="90"/>
      <c r="AN949" s="91"/>
      <c r="AO949" s="92"/>
    </row>
    <row r="950" ht="15.75" customHeight="1">
      <c r="A950" s="90"/>
      <c r="AN950" s="91"/>
      <c r="AO950" s="92"/>
    </row>
    <row r="951" ht="15.75" customHeight="1">
      <c r="A951" s="90"/>
      <c r="AN951" s="91"/>
      <c r="AO951" s="92"/>
    </row>
    <row r="952" ht="15.75" customHeight="1">
      <c r="A952" s="90"/>
      <c r="AN952" s="91"/>
      <c r="AO952" s="92"/>
    </row>
    <row r="953" ht="15.75" customHeight="1">
      <c r="A953" s="90"/>
      <c r="AN953" s="91"/>
      <c r="AO953" s="92"/>
    </row>
    <row r="954" ht="15.75" customHeight="1">
      <c r="A954" s="90"/>
      <c r="AN954" s="91"/>
      <c r="AO954" s="92"/>
    </row>
    <row r="955" ht="15.75" customHeight="1">
      <c r="A955" s="90"/>
      <c r="AN955" s="91"/>
      <c r="AO955" s="92"/>
    </row>
    <row r="956" ht="15.75" customHeight="1">
      <c r="A956" s="90"/>
      <c r="AN956" s="91"/>
      <c r="AO956" s="92"/>
    </row>
    <row r="957" ht="15.75" customHeight="1">
      <c r="A957" s="90"/>
      <c r="AN957" s="91"/>
      <c r="AO957" s="92"/>
    </row>
    <row r="958" ht="15.75" customHeight="1">
      <c r="A958" s="90"/>
      <c r="AN958" s="91"/>
      <c r="AO958" s="92"/>
    </row>
    <row r="959" ht="15.75" customHeight="1">
      <c r="A959" s="90"/>
      <c r="AN959" s="91"/>
      <c r="AO959" s="92"/>
    </row>
    <row r="960" ht="15.75" customHeight="1">
      <c r="A960" s="90"/>
      <c r="AN960" s="91"/>
      <c r="AO960" s="92"/>
    </row>
    <row r="961" ht="15.75" customHeight="1">
      <c r="A961" s="90"/>
      <c r="AN961" s="91"/>
      <c r="AO961" s="92"/>
    </row>
    <row r="962" ht="15.75" customHeight="1">
      <c r="A962" s="90"/>
      <c r="AN962" s="91"/>
      <c r="AO962" s="92"/>
    </row>
    <row r="963" ht="15.75" customHeight="1">
      <c r="A963" s="90"/>
      <c r="AN963" s="91"/>
      <c r="AO963" s="92"/>
    </row>
    <row r="964" ht="15.75" customHeight="1">
      <c r="A964" s="90"/>
      <c r="AN964" s="91"/>
      <c r="AO964" s="92"/>
    </row>
    <row r="965" ht="15.75" customHeight="1">
      <c r="A965" s="90"/>
      <c r="AN965" s="91"/>
      <c r="AO965" s="92"/>
    </row>
    <row r="966" ht="15.75" customHeight="1">
      <c r="A966" s="90"/>
      <c r="AN966" s="91"/>
      <c r="AO966" s="92"/>
    </row>
    <row r="967" ht="15.75" customHeight="1">
      <c r="A967" s="90"/>
      <c r="AN967" s="91"/>
      <c r="AO967" s="92"/>
    </row>
    <row r="968" ht="15.75" customHeight="1">
      <c r="A968" s="90"/>
      <c r="AN968" s="91"/>
      <c r="AO968" s="92"/>
    </row>
    <row r="969" ht="15.75" customHeight="1">
      <c r="A969" s="90"/>
      <c r="AN969" s="91"/>
      <c r="AO969" s="92"/>
    </row>
    <row r="970" ht="15.75" customHeight="1">
      <c r="A970" s="90"/>
      <c r="AN970" s="91"/>
      <c r="AO970" s="92"/>
    </row>
    <row r="971" ht="15.75" customHeight="1">
      <c r="A971" s="90"/>
      <c r="AN971" s="91"/>
      <c r="AO971" s="92"/>
    </row>
    <row r="972" ht="15.75" customHeight="1">
      <c r="A972" s="90"/>
      <c r="AN972" s="91"/>
      <c r="AO972" s="92"/>
    </row>
    <row r="973" ht="15.75" customHeight="1">
      <c r="A973" s="90"/>
      <c r="AN973" s="91"/>
      <c r="AO973" s="92"/>
    </row>
    <row r="974" ht="15.75" customHeight="1">
      <c r="A974" s="90"/>
      <c r="AN974" s="91"/>
      <c r="AO974" s="92"/>
    </row>
    <row r="975" ht="15.75" customHeight="1">
      <c r="A975" s="90"/>
      <c r="AN975" s="91"/>
      <c r="AO975" s="92"/>
    </row>
    <row r="976" ht="15.75" customHeight="1">
      <c r="A976" s="90"/>
      <c r="AN976" s="91"/>
      <c r="AO976" s="92"/>
    </row>
    <row r="977" ht="15.75" customHeight="1">
      <c r="A977" s="90"/>
      <c r="AN977" s="91"/>
      <c r="AO977" s="92"/>
    </row>
    <row r="978" ht="15.75" customHeight="1">
      <c r="A978" s="90"/>
      <c r="AN978" s="91"/>
      <c r="AO978" s="92"/>
    </row>
    <row r="979" ht="15.75" customHeight="1">
      <c r="A979" s="90"/>
      <c r="AN979" s="91"/>
      <c r="AO979" s="92"/>
    </row>
    <row r="980" ht="15.75" customHeight="1">
      <c r="A980" s="90"/>
      <c r="AN980" s="91"/>
      <c r="AO980" s="92"/>
    </row>
    <row r="981" ht="15.75" customHeight="1">
      <c r="A981" s="90"/>
      <c r="AN981" s="91"/>
      <c r="AO981" s="92"/>
    </row>
    <row r="982" ht="15.75" customHeight="1">
      <c r="A982" s="90"/>
      <c r="AN982" s="91"/>
      <c r="AO982" s="92"/>
    </row>
    <row r="983" ht="15.75" customHeight="1">
      <c r="A983" s="90"/>
      <c r="AN983" s="91"/>
      <c r="AO983" s="92"/>
    </row>
    <row r="984" ht="15.75" customHeight="1">
      <c r="A984" s="90"/>
      <c r="AN984" s="91"/>
      <c r="AO984" s="92"/>
    </row>
    <row r="985" ht="15.75" customHeight="1">
      <c r="A985" s="90"/>
      <c r="AN985" s="91"/>
      <c r="AO985" s="92"/>
    </row>
    <row r="986" ht="15.75" customHeight="1">
      <c r="A986" s="90"/>
      <c r="AN986" s="91"/>
      <c r="AO986" s="92"/>
    </row>
    <row r="987" ht="15.75" customHeight="1">
      <c r="A987" s="90"/>
      <c r="AN987" s="91"/>
      <c r="AO987" s="92"/>
    </row>
    <row r="988" ht="15.75" customHeight="1">
      <c r="A988" s="90"/>
      <c r="AN988" s="91"/>
      <c r="AO988" s="92"/>
    </row>
    <row r="989" ht="15.75" customHeight="1">
      <c r="A989" s="90"/>
      <c r="AN989" s="91"/>
      <c r="AO989" s="92"/>
    </row>
    <row r="990" ht="15.75" customHeight="1">
      <c r="A990" s="90"/>
      <c r="AN990" s="91"/>
      <c r="AO990" s="92"/>
    </row>
    <row r="991" ht="15.75" customHeight="1">
      <c r="A991" s="90"/>
      <c r="AN991" s="91"/>
      <c r="AO991" s="92"/>
    </row>
    <row r="992" ht="15.75" customHeight="1">
      <c r="A992" s="90"/>
      <c r="AN992" s="91"/>
      <c r="AO992" s="92"/>
    </row>
    <row r="993" ht="15.75" customHeight="1">
      <c r="A993" s="90"/>
      <c r="AN993" s="91"/>
      <c r="AO993" s="92"/>
    </row>
    <row r="994" ht="15.75" customHeight="1">
      <c r="A994" s="90"/>
      <c r="AN994" s="91"/>
      <c r="AO994" s="92"/>
    </row>
    <row r="995" ht="15.75" customHeight="1">
      <c r="A995" s="90"/>
      <c r="AN995" s="91"/>
      <c r="AO995" s="92"/>
    </row>
    <row r="996" ht="15.75" customHeight="1">
      <c r="A996" s="90"/>
      <c r="AN996" s="91"/>
      <c r="AO996" s="92"/>
    </row>
    <row r="997" ht="15.75" customHeight="1">
      <c r="A997" s="90"/>
      <c r="AN997" s="91"/>
      <c r="AO997" s="92"/>
    </row>
    <row r="998" ht="15.75" customHeight="1">
      <c r="A998" s="90"/>
      <c r="AN998" s="91"/>
      <c r="AO998" s="92"/>
    </row>
    <row r="999" ht="15.75" customHeight="1">
      <c r="A999" s="90"/>
      <c r="AN999" s="91"/>
      <c r="AO999" s="92"/>
    </row>
    <row r="1000" ht="15.75" customHeight="1">
      <c r="A1000" s="90"/>
      <c r="AN1000" s="91"/>
      <c r="AO1000" s="92"/>
    </row>
  </sheetData>
  <mergeCells count="12">
    <mergeCell ref="AF4:AF5"/>
    <mergeCell ref="AG4:AG5"/>
    <mergeCell ref="AM4:AM5"/>
    <mergeCell ref="AN4:AN5"/>
    <mergeCell ref="AO4:AO5"/>
    <mergeCell ref="W2:AA2"/>
    <mergeCell ref="W3:AA3"/>
    <mergeCell ref="A4:B4"/>
    <mergeCell ref="X4:Z4"/>
    <mergeCell ref="AC4:AC5"/>
    <mergeCell ref="AD4:AD5"/>
    <mergeCell ref="AE4:AE5"/>
  </mergeCells>
  <dataValidations>
    <dataValidation type="list" allowBlank="1" showErrorMessage="1" sqref="AI6:AI48">
      <formula1>'CODART ORIGEN'!$B$2:$B$30</formula1>
    </dataValidation>
    <dataValidation type="list" allowBlank="1" showErrorMessage="1" sqref="O6:O48">
      <formula1>PRINT!$A$1:$A$13</formula1>
    </dataValidation>
    <dataValidation type="list" allowBlank="1" showErrorMessage="1" sqref="AH6:AH48">
      <formula1>'CODART PRODUCTO'!$B$2:$B$327</formula1>
    </dataValidation>
    <dataValidation type="list" allowBlank="1" showErrorMessage="1" sqref="M6:M48">
      <formula1>CERTIFICACIONES!$A$1:$A$6</formula1>
    </dataValidation>
    <dataValidation type="list" allowBlank="1" showErrorMessage="1" sqref="B6:B48">
      <formula1>'CODART RESPONSABLE'!$B$2:$B$13</formula1>
    </dataValidation>
    <dataValidation type="list" allowBlank="1" showErrorMessage="1" sqref="T6:T48">
      <formula1>INCOTERM!$A$1:$A$13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3" t="s">
        <v>48</v>
      </c>
    </row>
    <row r="2">
      <c r="A2" s="93" t="s">
        <v>49</v>
      </c>
    </row>
    <row r="3">
      <c r="A3" s="93" t="s">
        <v>50</v>
      </c>
    </row>
    <row r="4">
      <c r="A4" s="93" t="s">
        <v>51</v>
      </c>
    </row>
    <row r="5">
      <c r="A5" s="93" t="s">
        <v>52</v>
      </c>
    </row>
    <row r="6">
      <c r="A6" s="93" t="s">
        <v>53</v>
      </c>
    </row>
    <row r="7">
      <c r="A7" s="93" t="s">
        <v>54</v>
      </c>
    </row>
    <row r="8">
      <c r="A8" s="93" t="s">
        <v>55</v>
      </c>
    </row>
    <row r="9">
      <c r="A9" s="93" t="s">
        <v>56</v>
      </c>
    </row>
    <row r="10">
      <c r="A10" s="93" t="s">
        <v>57</v>
      </c>
    </row>
    <row r="11">
      <c r="A11" s="93" t="s">
        <v>58</v>
      </c>
    </row>
    <row r="12">
      <c r="A12" s="93" t="s">
        <v>59</v>
      </c>
    </row>
    <row r="13">
      <c r="A13" s="93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93" t="s">
        <v>61</v>
      </c>
    </row>
    <row r="2">
      <c r="A2" s="93" t="s">
        <v>62</v>
      </c>
    </row>
    <row r="3">
      <c r="A3" s="93" t="s">
        <v>63</v>
      </c>
    </row>
    <row r="4">
      <c r="A4" s="93" t="s">
        <v>64</v>
      </c>
    </row>
    <row r="5">
      <c r="A5" s="93" t="s">
        <v>59</v>
      </c>
    </row>
    <row r="6">
      <c r="A6" s="93" t="s">
        <v>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0"/>
  </cols>
  <sheetData>
    <row r="1">
      <c r="A1" s="93" t="s">
        <v>66</v>
      </c>
    </row>
    <row r="2">
      <c r="A2" s="93" t="s">
        <v>67</v>
      </c>
    </row>
    <row r="3">
      <c r="A3" s="93" t="s">
        <v>68</v>
      </c>
    </row>
    <row r="4">
      <c r="A4" s="93" t="s">
        <v>69</v>
      </c>
    </row>
    <row r="5">
      <c r="A5" s="93" t="s">
        <v>70</v>
      </c>
    </row>
    <row r="6">
      <c r="A6" s="93" t="s">
        <v>71</v>
      </c>
    </row>
    <row r="7">
      <c r="A7" s="93" t="s">
        <v>72</v>
      </c>
    </row>
    <row r="8">
      <c r="A8" s="93" t="s">
        <v>73</v>
      </c>
    </row>
    <row r="9">
      <c r="A9" s="93" t="s">
        <v>74</v>
      </c>
    </row>
    <row r="10">
      <c r="A10" s="93" t="s">
        <v>75</v>
      </c>
    </row>
    <row r="11">
      <c r="A11" s="93" t="s">
        <v>76</v>
      </c>
    </row>
    <row r="12">
      <c r="A12" s="93" t="s">
        <v>77</v>
      </c>
    </row>
    <row r="13">
      <c r="A13" s="93" t="s">
        <v>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38.33"/>
    <col customWidth="1" min="3" max="3" width="15.89"/>
  </cols>
  <sheetData>
    <row r="1">
      <c r="A1" s="94" t="s">
        <v>79</v>
      </c>
      <c r="B1" s="95" t="s">
        <v>41</v>
      </c>
      <c r="C1" s="96" t="s">
        <v>80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7">
        <v>1.0</v>
      </c>
      <c r="B2" s="98" t="s">
        <v>81</v>
      </c>
      <c r="C2" s="99" t="s">
        <v>82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7">
        <v>2.0</v>
      </c>
      <c r="B3" s="98" t="s">
        <v>83</v>
      </c>
      <c r="C3" s="99" t="s">
        <v>84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7">
        <v>3.0</v>
      </c>
      <c r="B4" s="100" t="s">
        <v>85</v>
      </c>
      <c r="C4" s="99" t="s">
        <v>86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7">
        <v>4.0</v>
      </c>
      <c r="B5" s="98" t="s">
        <v>87</v>
      </c>
      <c r="C5" s="99" t="s">
        <v>88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7">
        <v>5.0</v>
      </c>
      <c r="B6" s="98" t="s">
        <v>89</v>
      </c>
      <c r="C6" s="99" t="s">
        <v>90</v>
      </c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7">
        <v>6.0</v>
      </c>
      <c r="B7" s="98" t="s">
        <v>91</v>
      </c>
      <c r="C7" s="99" t="s">
        <v>92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7">
        <v>7.0</v>
      </c>
      <c r="B8" s="98" t="s">
        <v>93</v>
      </c>
      <c r="C8" s="99" t="s">
        <v>94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7">
        <v>8.0</v>
      </c>
      <c r="B9" s="100" t="s">
        <v>95</v>
      </c>
      <c r="C9" s="99" t="s">
        <v>96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7">
        <v>9.0</v>
      </c>
      <c r="B10" s="98" t="s">
        <v>97</v>
      </c>
      <c r="C10" s="99" t="s">
        <v>98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7">
        <v>10.0</v>
      </c>
      <c r="B11" s="98" t="s">
        <v>99</v>
      </c>
      <c r="C11" s="99" t="s">
        <v>100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7">
        <v>11.0</v>
      </c>
      <c r="B12" s="98" t="s">
        <v>101</v>
      </c>
      <c r="C12" s="99" t="s">
        <v>102</v>
      </c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7">
        <v>12.0</v>
      </c>
      <c r="B13" s="101" t="s">
        <v>103</v>
      </c>
      <c r="C13" s="102" t="s">
        <v>104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7">
        <v>13.0</v>
      </c>
      <c r="B14" s="98" t="s">
        <v>105</v>
      </c>
      <c r="C14" s="99" t="s">
        <v>106</v>
      </c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7">
        <v>14.0</v>
      </c>
      <c r="B15" s="101" t="s">
        <v>107</v>
      </c>
      <c r="C15" s="99" t="s">
        <v>108</v>
      </c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7">
        <v>15.0</v>
      </c>
      <c r="B16" s="103" t="s">
        <v>109</v>
      </c>
      <c r="C16" s="99" t="s">
        <v>110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7">
        <v>16.0</v>
      </c>
      <c r="B17" s="104" t="s">
        <v>111</v>
      </c>
      <c r="C17" s="99" t="s">
        <v>112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7">
        <v>17.0</v>
      </c>
      <c r="B18" s="101" t="s">
        <v>113</v>
      </c>
      <c r="C18" s="102" t="s">
        <v>114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7">
        <v>18.0</v>
      </c>
      <c r="B19" s="101" t="s">
        <v>115</v>
      </c>
      <c r="C19" s="102" t="s">
        <v>116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7">
        <v>19.0</v>
      </c>
      <c r="B20" s="98" t="s">
        <v>117</v>
      </c>
      <c r="C20" s="102" t="s">
        <v>118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7">
        <v>20.0</v>
      </c>
      <c r="B21" s="98" t="s">
        <v>119</v>
      </c>
      <c r="C21" s="99" t="s">
        <v>120</v>
      </c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7">
        <v>21.0</v>
      </c>
      <c r="B22" s="98" t="s">
        <v>121</v>
      </c>
      <c r="C22" s="102" t="s">
        <v>122</v>
      </c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7">
        <v>22.0</v>
      </c>
      <c r="B23" s="98" t="s">
        <v>123</v>
      </c>
      <c r="C23" s="102" t="s">
        <v>124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7">
        <v>23.0</v>
      </c>
      <c r="B24" s="101" t="s">
        <v>125</v>
      </c>
      <c r="C24" s="102" t="s">
        <v>126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7">
        <v>24.0</v>
      </c>
      <c r="B25" s="98" t="s">
        <v>127</v>
      </c>
      <c r="C25" s="99" t="s">
        <v>128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7">
        <v>25.0</v>
      </c>
      <c r="B26" s="98" t="s">
        <v>129</v>
      </c>
      <c r="C26" s="102" t="s">
        <v>130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7">
        <v>26.0</v>
      </c>
      <c r="B27" s="98" t="s">
        <v>131</v>
      </c>
      <c r="C27" s="99" t="s">
        <v>132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7">
        <v>27.0</v>
      </c>
      <c r="B28" s="98" t="s">
        <v>133</v>
      </c>
      <c r="C28" s="99" t="s">
        <v>134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7">
        <v>28.0</v>
      </c>
      <c r="B29" s="98" t="s">
        <v>135</v>
      </c>
      <c r="C29" s="99" t="s">
        <v>136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7">
        <v>29.0</v>
      </c>
      <c r="B30" s="98" t="s">
        <v>137</v>
      </c>
      <c r="C30" s="99" t="s">
        <v>138</v>
      </c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7">
        <v>30.0</v>
      </c>
      <c r="B31" s="98" t="s">
        <v>139</v>
      </c>
      <c r="C31" s="99" t="s">
        <v>140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7">
        <v>31.0</v>
      </c>
      <c r="B32" s="98" t="s">
        <v>141</v>
      </c>
      <c r="C32" s="102" t="s">
        <v>142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7">
        <v>32.0</v>
      </c>
      <c r="B33" s="98" t="s">
        <v>143</v>
      </c>
      <c r="C33" s="99" t="s">
        <v>144</v>
      </c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7">
        <v>33.0</v>
      </c>
      <c r="B34" s="98" t="s">
        <v>145</v>
      </c>
      <c r="C34" s="99" t="s">
        <v>146</v>
      </c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7">
        <v>34.0</v>
      </c>
      <c r="B35" s="98" t="s">
        <v>147</v>
      </c>
      <c r="C35" s="99" t="s">
        <v>148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7">
        <v>35.0</v>
      </c>
      <c r="B36" s="98" t="s">
        <v>149</v>
      </c>
      <c r="C36" s="99" t="s">
        <v>150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7">
        <v>36.0</v>
      </c>
      <c r="B37" s="98" t="s">
        <v>151</v>
      </c>
      <c r="C37" s="99" t="s">
        <v>152</v>
      </c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7">
        <v>37.0</v>
      </c>
      <c r="B38" s="98" t="s">
        <v>153</v>
      </c>
      <c r="C38" s="99" t="s">
        <v>154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7">
        <v>38.0</v>
      </c>
      <c r="B39" s="98" t="s">
        <v>155</v>
      </c>
      <c r="C39" s="99" t="s">
        <v>156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7">
        <v>39.0</v>
      </c>
      <c r="B40" s="98" t="s">
        <v>157</v>
      </c>
      <c r="C40" s="102" t="s">
        <v>158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7">
        <v>40.0</v>
      </c>
      <c r="B41" s="98" t="s">
        <v>159</v>
      </c>
      <c r="C41" s="102" t="s">
        <v>160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7">
        <v>41.0</v>
      </c>
      <c r="B42" s="98" t="s">
        <v>161</v>
      </c>
      <c r="C42" s="99" t="s">
        <v>162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7">
        <v>42.0</v>
      </c>
      <c r="B43" s="98" t="s">
        <v>163</v>
      </c>
      <c r="C43" s="99" t="s">
        <v>164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7">
        <v>43.0</v>
      </c>
      <c r="B44" s="98" t="s">
        <v>165</v>
      </c>
      <c r="C44" s="99" t="s">
        <v>166</v>
      </c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7">
        <v>44.0</v>
      </c>
      <c r="B45" s="98" t="s">
        <v>167</v>
      </c>
      <c r="C45" s="102" t="s">
        <v>168</v>
      </c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7">
        <v>45.0</v>
      </c>
      <c r="B46" s="100" t="s">
        <v>169</v>
      </c>
      <c r="C46" s="102" t="s">
        <v>170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7">
        <v>46.0</v>
      </c>
      <c r="B47" s="98" t="s">
        <v>171</v>
      </c>
      <c r="C47" s="102" t="s">
        <v>172</v>
      </c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7">
        <v>47.0</v>
      </c>
      <c r="B48" s="98" t="s">
        <v>173</v>
      </c>
      <c r="C48" s="102" t="s">
        <v>174</v>
      </c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7">
        <v>48.0</v>
      </c>
      <c r="B49" s="98" t="s">
        <v>175</v>
      </c>
      <c r="C49" s="102" t="s">
        <v>176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7">
        <v>49.0</v>
      </c>
      <c r="B50" s="98" t="s">
        <v>177</v>
      </c>
      <c r="C50" s="99" t="s">
        <v>178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7">
        <v>50.0</v>
      </c>
      <c r="B51" s="98" t="s">
        <v>179</v>
      </c>
      <c r="C51" s="99" t="s">
        <v>180</v>
      </c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7">
        <v>51.0</v>
      </c>
      <c r="B52" s="98" t="s">
        <v>181</v>
      </c>
      <c r="C52" s="99" t="s">
        <v>182</v>
      </c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7">
        <v>52.0</v>
      </c>
      <c r="B53" s="98" t="s">
        <v>183</v>
      </c>
      <c r="C53" s="102" t="s">
        <v>184</v>
      </c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7">
        <v>53.0</v>
      </c>
      <c r="B54" s="98" t="s">
        <v>185</v>
      </c>
      <c r="C54" s="99" t="s">
        <v>186</v>
      </c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7">
        <v>54.0</v>
      </c>
      <c r="B55" s="98" t="s">
        <v>187</v>
      </c>
      <c r="C55" s="99" t="s">
        <v>188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7">
        <v>55.0</v>
      </c>
      <c r="B56" s="98" t="s">
        <v>189</v>
      </c>
      <c r="C56" s="99" t="s">
        <v>190</v>
      </c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7">
        <v>56.0</v>
      </c>
      <c r="B57" s="98" t="s">
        <v>191</v>
      </c>
      <c r="C57" s="102" t="s">
        <v>192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7">
        <v>57.0</v>
      </c>
      <c r="B58" s="100" t="s">
        <v>193</v>
      </c>
      <c r="C58" s="102" t="s">
        <v>194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7">
        <v>58.0</v>
      </c>
      <c r="B59" s="98" t="s">
        <v>195</v>
      </c>
      <c r="C59" s="102" t="s">
        <v>196</v>
      </c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7">
        <v>59.0</v>
      </c>
      <c r="B60" s="98" t="s">
        <v>197</v>
      </c>
      <c r="C60" s="102" t="s">
        <v>198</v>
      </c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7">
        <v>60.0</v>
      </c>
      <c r="B61" s="98" t="s">
        <v>199</v>
      </c>
      <c r="C61" s="102" t="s">
        <v>200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7">
        <v>61.0</v>
      </c>
      <c r="B62" s="98" t="s">
        <v>201</v>
      </c>
      <c r="C62" s="102" t="s">
        <v>202</v>
      </c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7">
        <v>62.0</v>
      </c>
      <c r="B63" s="98" t="s">
        <v>203</v>
      </c>
      <c r="C63" s="99" t="s">
        <v>204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7">
        <v>63.0</v>
      </c>
      <c r="B64" s="98" t="s">
        <v>205</v>
      </c>
      <c r="C64" s="99" t="s">
        <v>206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7">
        <v>64.0</v>
      </c>
      <c r="B65" s="98" t="s">
        <v>207</v>
      </c>
      <c r="C65" s="102" t="s">
        <v>208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7">
        <v>65.0</v>
      </c>
      <c r="B66" s="98" t="s">
        <v>209</v>
      </c>
      <c r="C66" s="99" t="s">
        <v>210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7">
        <v>66.0</v>
      </c>
      <c r="B67" s="98" t="s">
        <v>211</v>
      </c>
      <c r="C67" s="102" t="s">
        <v>212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7">
        <v>67.0</v>
      </c>
      <c r="B68" s="100" t="s">
        <v>213</v>
      </c>
      <c r="C68" s="102" t="s">
        <v>214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7">
        <v>68.0</v>
      </c>
      <c r="B69" s="98" t="s">
        <v>215</v>
      </c>
      <c r="C69" s="99" t="s">
        <v>216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7">
        <v>69.0</v>
      </c>
      <c r="B70" s="98" t="s">
        <v>217</v>
      </c>
      <c r="C70" s="99" t="s">
        <v>218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7">
        <v>70.0</v>
      </c>
      <c r="B71" s="100" t="s">
        <v>219</v>
      </c>
      <c r="C71" s="99" t="s">
        <v>220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7">
        <v>71.0</v>
      </c>
      <c r="B72" s="98" t="s">
        <v>221</v>
      </c>
      <c r="C72" s="99" t="s">
        <v>222</v>
      </c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7">
        <v>72.0</v>
      </c>
      <c r="B73" s="98" t="s">
        <v>223</v>
      </c>
      <c r="C73" s="99" t="s">
        <v>224</v>
      </c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7">
        <v>73.0</v>
      </c>
      <c r="B74" s="98" t="s">
        <v>225</v>
      </c>
      <c r="C74" s="102" t="s">
        <v>226</v>
      </c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7">
        <v>74.0</v>
      </c>
      <c r="B75" s="98" t="s">
        <v>227</v>
      </c>
      <c r="C75" s="102" t="s">
        <v>228</v>
      </c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7">
        <v>75.0</v>
      </c>
      <c r="B76" s="98" t="s">
        <v>229</v>
      </c>
      <c r="C76" s="99" t="s">
        <v>230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7">
        <v>76.0</v>
      </c>
      <c r="B77" s="98" t="s">
        <v>231</v>
      </c>
      <c r="C77" s="99" t="s">
        <v>232</v>
      </c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7">
        <v>77.0</v>
      </c>
      <c r="B78" s="98" t="s">
        <v>233</v>
      </c>
      <c r="C78" s="102" t="s">
        <v>234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7">
        <v>78.0</v>
      </c>
      <c r="B79" s="98" t="s">
        <v>235</v>
      </c>
      <c r="C79" s="99" t="s">
        <v>236</v>
      </c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7">
        <v>79.0</v>
      </c>
      <c r="B80" s="98" t="s">
        <v>237</v>
      </c>
      <c r="C80" s="99" t="s">
        <v>238</v>
      </c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7">
        <v>80.0</v>
      </c>
      <c r="B81" s="98" t="s">
        <v>239</v>
      </c>
      <c r="C81" s="99" t="s">
        <v>240</v>
      </c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7">
        <v>81.0</v>
      </c>
      <c r="B82" s="98" t="s">
        <v>241</v>
      </c>
      <c r="C82" s="102" t="s">
        <v>242</v>
      </c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7">
        <v>82.0</v>
      </c>
      <c r="B83" s="98" t="s">
        <v>243</v>
      </c>
      <c r="C83" s="99" t="s">
        <v>244</v>
      </c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7">
        <v>83.0</v>
      </c>
      <c r="B84" s="98" t="s">
        <v>245</v>
      </c>
      <c r="C84" s="99" t="s">
        <v>246</v>
      </c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7">
        <v>84.0</v>
      </c>
      <c r="B85" s="100" t="s">
        <v>247</v>
      </c>
      <c r="C85" s="99" t="s">
        <v>248</v>
      </c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7">
        <v>85.0</v>
      </c>
      <c r="B86" s="98" t="s">
        <v>249</v>
      </c>
      <c r="C86" s="99" t="s">
        <v>250</v>
      </c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7">
        <v>86.0</v>
      </c>
      <c r="B87" s="98" t="s">
        <v>251</v>
      </c>
      <c r="C87" s="99" t="s">
        <v>252</v>
      </c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7">
        <v>87.0</v>
      </c>
      <c r="B88" s="98" t="s">
        <v>253</v>
      </c>
      <c r="C88" s="99" t="s">
        <v>254</v>
      </c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7">
        <v>88.0</v>
      </c>
      <c r="B89" s="98" t="s">
        <v>255</v>
      </c>
      <c r="C89" s="99" t="s">
        <v>256</v>
      </c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7">
        <v>89.0</v>
      </c>
      <c r="B90" s="98" t="s">
        <v>257</v>
      </c>
      <c r="C90" s="99" t="s">
        <v>258</v>
      </c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7">
        <v>90.0</v>
      </c>
      <c r="B91" s="98" t="s">
        <v>259</v>
      </c>
      <c r="C91" s="99" t="s">
        <v>260</v>
      </c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7">
        <v>91.0</v>
      </c>
      <c r="B92" s="98" t="s">
        <v>261</v>
      </c>
      <c r="C92" s="99" t="s">
        <v>262</v>
      </c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7">
        <v>92.0</v>
      </c>
      <c r="B93" s="98" t="s">
        <v>263</v>
      </c>
      <c r="C93" s="102" t="s">
        <v>264</v>
      </c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7">
        <v>93.0</v>
      </c>
      <c r="B94" s="98" t="s">
        <v>265</v>
      </c>
      <c r="C94" s="99" t="s">
        <v>266</v>
      </c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7">
        <v>94.0</v>
      </c>
      <c r="B95" s="98" t="s">
        <v>267</v>
      </c>
      <c r="C95" s="99" t="s">
        <v>268</v>
      </c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7">
        <v>95.0</v>
      </c>
      <c r="B96" s="98" t="s">
        <v>269</v>
      </c>
      <c r="C96" s="99" t="s">
        <v>270</v>
      </c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7">
        <v>96.0</v>
      </c>
      <c r="B97" s="98" t="s">
        <v>271</v>
      </c>
      <c r="C97" s="102" t="s">
        <v>272</v>
      </c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7">
        <v>97.0</v>
      </c>
      <c r="B98" s="98" t="s">
        <v>273</v>
      </c>
      <c r="C98" s="99" t="s">
        <v>274</v>
      </c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7">
        <v>98.0</v>
      </c>
      <c r="B99" s="98" t="s">
        <v>275</v>
      </c>
      <c r="C99" s="99" t="s">
        <v>276</v>
      </c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7">
        <v>99.0</v>
      </c>
      <c r="B100" s="98" t="s">
        <v>277</v>
      </c>
      <c r="C100" s="99" t="s">
        <v>278</v>
      </c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7">
        <v>100.0</v>
      </c>
      <c r="B101" s="98" t="s">
        <v>279</v>
      </c>
      <c r="C101" s="102" t="s">
        <v>280</v>
      </c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7">
        <v>101.0</v>
      </c>
      <c r="B102" s="98" t="s">
        <v>281</v>
      </c>
      <c r="C102" s="99" t="s">
        <v>282</v>
      </c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7">
        <v>102.0</v>
      </c>
      <c r="B103" s="98" t="s">
        <v>283</v>
      </c>
      <c r="C103" s="99" t="s">
        <v>284</v>
      </c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7">
        <v>103.0</v>
      </c>
      <c r="B104" s="100" t="s">
        <v>285</v>
      </c>
      <c r="C104" s="102" t="s">
        <v>286</v>
      </c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7">
        <v>104.0</v>
      </c>
      <c r="B105" s="98" t="s">
        <v>287</v>
      </c>
      <c r="C105" s="102" t="s">
        <v>288</v>
      </c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7">
        <v>105.0</v>
      </c>
      <c r="B106" s="98" t="s">
        <v>289</v>
      </c>
      <c r="C106" s="102" t="s">
        <v>290</v>
      </c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7">
        <v>106.0</v>
      </c>
      <c r="B107" s="98" t="s">
        <v>291</v>
      </c>
      <c r="C107" s="102" t="s">
        <v>292</v>
      </c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7">
        <v>107.0</v>
      </c>
      <c r="B108" s="100" t="s">
        <v>293</v>
      </c>
      <c r="C108" s="99" t="s">
        <v>294</v>
      </c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7">
        <v>108.0</v>
      </c>
      <c r="B109" s="98" t="s">
        <v>295</v>
      </c>
      <c r="C109" s="99" t="s">
        <v>296</v>
      </c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7">
        <v>109.0</v>
      </c>
      <c r="B110" s="100" t="s">
        <v>297</v>
      </c>
      <c r="C110" s="99" t="s">
        <v>298</v>
      </c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7">
        <v>110.0</v>
      </c>
      <c r="B111" s="100" t="s">
        <v>299</v>
      </c>
      <c r="C111" s="99" t="s">
        <v>300</v>
      </c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7">
        <v>111.0</v>
      </c>
      <c r="B112" s="98" t="s">
        <v>301</v>
      </c>
      <c r="C112" s="99" t="s">
        <v>302</v>
      </c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7">
        <v>112.0</v>
      </c>
      <c r="B113" s="98" t="s">
        <v>303</v>
      </c>
      <c r="C113" s="102" t="s">
        <v>304</v>
      </c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7">
        <v>113.0</v>
      </c>
      <c r="B114" s="100" t="s">
        <v>305</v>
      </c>
      <c r="C114" s="99" t="s">
        <v>306</v>
      </c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7">
        <v>114.0</v>
      </c>
      <c r="B115" s="98" t="s">
        <v>307</v>
      </c>
      <c r="C115" s="102" t="s">
        <v>308</v>
      </c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7">
        <v>115.0</v>
      </c>
      <c r="B116" s="98" t="s">
        <v>309</v>
      </c>
      <c r="C116" s="99" t="s">
        <v>310</v>
      </c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7">
        <v>116.0</v>
      </c>
      <c r="B117" s="98" t="s">
        <v>311</v>
      </c>
      <c r="C117" s="102" t="s">
        <v>312</v>
      </c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7">
        <v>117.0</v>
      </c>
      <c r="B118" s="98" t="s">
        <v>313</v>
      </c>
      <c r="C118" s="102" t="s">
        <v>314</v>
      </c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7">
        <v>118.0</v>
      </c>
      <c r="B119" s="98" t="s">
        <v>315</v>
      </c>
      <c r="C119" s="99" t="s">
        <v>315</v>
      </c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7">
        <v>119.0</v>
      </c>
      <c r="B120" s="98" t="s">
        <v>316</v>
      </c>
      <c r="C120" s="99" t="s">
        <v>317</v>
      </c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7">
        <v>120.0</v>
      </c>
      <c r="B121" s="98" t="s">
        <v>318</v>
      </c>
      <c r="C121" s="99" t="s">
        <v>319</v>
      </c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7">
        <v>121.0</v>
      </c>
      <c r="B122" s="98" t="s">
        <v>320</v>
      </c>
      <c r="C122" s="102" t="s">
        <v>321</v>
      </c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7">
        <v>122.0</v>
      </c>
      <c r="B123" s="98" t="s">
        <v>322</v>
      </c>
      <c r="C123" s="102" t="s">
        <v>323</v>
      </c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7">
        <v>123.0</v>
      </c>
      <c r="B124" s="98" t="s">
        <v>324</v>
      </c>
      <c r="C124" s="102" t="s">
        <v>325</v>
      </c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7">
        <v>124.0</v>
      </c>
      <c r="B125" s="98" t="s">
        <v>326</v>
      </c>
      <c r="C125" s="102" t="s">
        <v>327</v>
      </c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7">
        <v>125.0</v>
      </c>
      <c r="B126" s="98" t="s">
        <v>328</v>
      </c>
      <c r="C126" s="99" t="s">
        <v>329</v>
      </c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7">
        <v>126.0</v>
      </c>
      <c r="B127" s="98" t="s">
        <v>330</v>
      </c>
      <c r="C127" s="99" t="s">
        <v>331</v>
      </c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7">
        <v>127.0</v>
      </c>
      <c r="B128" s="98" t="s">
        <v>332</v>
      </c>
      <c r="C128" s="99" t="s">
        <v>333</v>
      </c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7">
        <v>128.0</v>
      </c>
      <c r="B129" s="98" t="s">
        <v>334</v>
      </c>
      <c r="C129" s="102" t="s">
        <v>335</v>
      </c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7">
        <v>129.0</v>
      </c>
      <c r="B130" s="98" t="s">
        <v>336</v>
      </c>
      <c r="C130" s="102" t="s">
        <v>337</v>
      </c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7">
        <v>130.0</v>
      </c>
      <c r="B131" s="98" t="s">
        <v>338</v>
      </c>
      <c r="C131" s="102" t="s">
        <v>339</v>
      </c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7">
        <v>131.0</v>
      </c>
      <c r="B132" s="98" t="s">
        <v>340</v>
      </c>
      <c r="C132" s="99" t="s">
        <v>341</v>
      </c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7">
        <v>132.0</v>
      </c>
      <c r="B133" s="98" t="s">
        <v>342</v>
      </c>
      <c r="C133" s="99" t="s">
        <v>343</v>
      </c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7">
        <v>133.0</v>
      </c>
      <c r="B134" s="98" t="s">
        <v>344</v>
      </c>
      <c r="C134" s="102" t="s">
        <v>345</v>
      </c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7">
        <v>134.0</v>
      </c>
      <c r="B135" s="98" t="s">
        <v>346</v>
      </c>
      <c r="C135" s="99" t="s">
        <v>347</v>
      </c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7">
        <v>135.0</v>
      </c>
      <c r="B136" s="98" t="s">
        <v>348</v>
      </c>
      <c r="C136" s="99" t="s">
        <v>349</v>
      </c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7">
        <v>136.0</v>
      </c>
      <c r="B137" s="98" t="s">
        <v>350</v>
      </c>
      <c r="C137" s="102" t="s">
        <v>351</v>
      </c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7">
        <v>137.0</v>
      </c>
      <c r="B138" s="98" t="s">
        <v>352</v>
      </c>
      <c r="C138" s="102" t="s">
        <v>353</v>
      </c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7">
        <v>138.0</v>
      </c>
      <c r="B139" s="98" t="s">
        <v>354</v>
      </c>
      <c r="C139" s="99" t="s">
        <v>355</v>
      </c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7">
        <v>139.0</v>
      </c>
      <c r="B140" s="98" t="s">
        <v>356</v>
      </c>
      <c r="C140" s="99" t="s">
        <v>357</v>
      </c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7">
        <v>140.0</v>
      </c>
      <c r="B141" s="98" t="s">
        <v>358</v>
      </c>
      <c r="C141" s="99" t="s">
        <v>359</v>
      </c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7">
        <v>141.0</v>
      </c>
      <c r="B142" s="98" t="s">
        <v>360</v>
      </c>
      <c r="C142" s="99" t="s">
        <v>361</v>
      </c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7">
        <v>142.0</v>
      </c>
      <c r="B143" s="98" t="s">
        <v>362</v>
      </c>
      <c r="C143" s="99" t="s">
        <v>363</v>
      </c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7">
        <v>143.0</v>
      </c>
      <c r="B144" s="98" t="s">
        <v>364</v>
      </c>
      <c r="C144" s="99" t="s">
        <v>365</v>
      </c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7">
        <v>144.0</v>
      </c>
      <c r="B145" s="98" t="s">
        <v>366</v>
      </c>
      <c r="C145" s="102" t="s">
        <v>367</v>
      </c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7">
        <v>145.0</v>
      </c>
      <c r="B146" s="98" t="s">
        <v>368</v>
      </c>
      <c r="C146" s="99" t="s">
        <v>369</v>
      </c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7">
        <v>146.0</v>
      </c>
      <c r="B147" s="98" t="s">
        <v>370</v>
      </c>
      <c r="C147" s="99" t="s">
        <v>371</v>
      </c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7">
        <v>147.0</v>
      </c>
      <c r="B148" s="98" t="s">
        <v>372</v>
      </c>
      <c r="C148" s="99" t="s">
        <v>373</v>
      </c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7">
        <v>148.0</v>
      </c>
      <c r="B149" s="100" t="s">
        <v>374</v>
      </c>
      <c r="C149" s="102" t="s">
        <v>375</v>
      </c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7">
        <v>149.0</v>
      </c>
      <c r="B150" s="98" t="s">
        <v>376</v>
      </c>
      <c r="C150" s="102" t="s">
        <v>377</v>
      </c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7">
        <v>150.0</v>
      </c>
      <c r="B151" s="98" t="s">
        <v>378</v>
      </c>
      <c r="C151" s="102" t="s">
        <v>379</v>
      </c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7">
        <v>151.0</v>
      </c>
      <c r="B152" s="98" t="s">
        <v>380</v>
      </c>
      <c r="C152" s="99" t="s">
        <v>381</v>
      </c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7">
        <v>152.0</v>
      </c>
      <c r="B153" s="98" t="s">
        <v>382</v>
      </c>
      <c r="C153" s="102" t="s">
        <v>383</v>
      </c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7">
        <v>153.0</v>
      </c>
      <c r="B154" s="100" t="s">
        <v>384</v>
      </c>
      <c r="C154" s="99" t="s">
        <v>385</v>
      </c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7">
        <v>154.0</v>
      </c>
      <c r="B155" s="98" t="s">
        <v>386</v>
      </c>
      <c r="C155" s="99" t="s">
        <v>387</v>
      </c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7">
        <v>155.0</v>
      </c>
      <c r="B156" s="98" t="s">
        <v>388</v>
      </c>
      <c r="C156" s="102" t="s">
        <v>389</v>
      </c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7">
        <v>156.0</v>
      </c>
      <c r="B157" s="98" t="s">
        <v>390</v>
      </c>
      <c r="C157" s="99" t="s">
        <v>391</v>
      </c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7">
        <v>157.0</v>
      </c>
      <c r="B158" s="98" t="s">
        <v>392</v>
      </c>
      <c r="C158" s="102" t="s">
        <v>393</v>
      </c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7">
        <v>158.0</v>
      </c>
      <c r="B159" s="98" t="s">
        <v>394</v>
      </c>
      <c r="C159" s="99" t="s">
        <v>395</v>
      </c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7">
        <v>159.0</v>
      </c>
      <c r="B160" s="98" t="s">
        <v>396</v>
      </c>
      <c r="C160" s="99" t="s">
        <v>397</v>
      </c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7">
        <v>160.0</v>
      </c>
      <c r="B161" s="98" t="s">
        <v>398</v>
      </c>
      <c r="C161" s="99" t="s">
        <v>399</v>
      </c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7">
        <v>161.0</v>
      </c>
      <c r="B162" s="98" t="s">
        <v>400</v>
      </c>
      <c r="C162" s="99" t="s">
        <v>401</v>
      </c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7">
        <v>162.0</v>
      </c>
      <c r="B163" s="98" t="s">
        <v>402</v>
      </c>
      <c r="C163" s="102" t="s">
        <v>403</v>
      </c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7">
        <v>163.0</v>
      </c>
      <c r="B164" s="98" t="s">
        <v>404</v>
      </c>
      <c r="C164" s="102" t="s">
        <v>405</v>
      </c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7">
        <v>164.0</v>
      </c>
      <c r="B165" s="98" t="s">
        <v>406</v>
      </c>
      <c r="C165" s="102" t="s">
        <v>407</v>
      </c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7">
        <v>165.0</v>
      </c>
      <c r="B166" s="98" t="s">
        <v>408</v>
      </c>
      <c r="C166" s="99" t="s">
        <v>409</v>
      </c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7">
        <v>166.0</v>
      </c>
      <c r="B167" s="98" t="s">
        <v>410</v>
      </c>
      <c r="C167" s="102" t="s">
        <v>411</v>
      </c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7">
        <v>167.0</v>
      </c>
      <c r="B168" s="98" t="s">
        <v>412</v>
      </c>
      <c r="C168" s="102" t="s">
        <v>413</v>
      </c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7">
        <v>168.0</v>
      </c>
      <c r="B169" s="98" t="s">
        <v>414</v>
      </c>
      <c r="C169" s="102" t="s">
        <v>415</v>
      </c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7">
        <v>169.0</v>
      </c>
      <c r="B170" s="98" t="s">
        <v>416</v>
      </c>
      <c r="C170" s="102" t="s">
        <v>417</v>
      </c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7">
        <v>170.0</v>
      </c>
      <c r="B171" s="98" t="s">
        <v>418</v>
      </c>
      <c r="C171" s="99" t="s">
        <v>419</v>
      </c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7">
        <v>171.0</v>
      </c>
      <c r="B172" s="98" t="s">
        <v>420</v>
      </c>
      <c r="C172" s="102" t="s">
        <v>421</v>
      </c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105">
        <v>172.0</v>
      </c>
      <c r="B173" s="106" t="s">
        <v>422</v>
      </c>
      <c r="C173" s="107" t="s">
        <v>423</v>
      </c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108">
        <v>173.0</v>
      </c>
      <c r="B174" s="109" t="s">
        <v>424</v>
      </c>
      <c r="C174" s="99" t="s">
        <v>425</v>
      </c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108">
        <v>174.0</v>
      </c>
      <c r="B175" s="109" t="s">
        <v>426</v>
      </c>
      <c r="C175" s="99" t="s">
        <v>427</v>
      </c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108">
        <v>175.0</v>
      </c>
      <c r="B176" s="109" t="s">
        <v>428</v>
      </c>
      <c r="C176" s="99" t="s">
        <v>114</v>
      </c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110">
        <v>176.0</v>
      </c>
      <c r="B177" s="109" t="s">
        <v>429</v>
      </c>
      <c r="C177" s="99" t="s">
        <v>430</v>
      </c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110">
        <v>177.0</v>
      </c>
      <c r="B178" s="109" t="s">
        <v>431</v>
      </c>
      <c r="C178" s="99" t="s">
        <v>432</v>
      </c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3"/>
      <c r="B179" s="111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3"/>
      <c r="B180" s="111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3"/>
      <c r="B181" s="111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3"/>
      <c r="B182" s="111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3"/>
      <c r="B183" s="111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3"/>
      <c r="B184" s="111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3"/>
      <c r="B185" s="111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3"/>
      <c r="B186" s="111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3"/>
      <c r="B187" s="111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3"/>
      <c r="B188" s="111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3"/>
      <c r="B189" s="111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3"/>
      <c r="B190" s="111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3"/>
      <c r="B191" s="111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3"/>
      <c r="B192" s="111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3"/>
      <c r="B193" s="111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3"/>
      <c r="B194" s="111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3"/>
      <c r="B195" s="111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3"/>
      <c r="B196" s="111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3"/>
      <c r="B197" s="111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3"/>
      <c r="B198" s="111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3"/>
      <c r="B199" s="111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3"/>
      <c r="B200" s="111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3"/>
      <c r="B201" s="111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3"/>
      <c r="B202" s="111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3"/>
      <c r="B203" s="111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3"/>
      <c r="B204" s="111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3"/>
      <c r="B205" s="111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3"/>
      <c r="B206" s="111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3"/>
      <c r="B207" s="111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3"/>
      <c r="B208" s="111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3"/>
      <c r="B209" s="111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3"/>
      <c r="B210" s="111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3"/>
      <c r="B211" s="111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3"/>
      <c r="B212" s="111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3"/>
      <c r="B213" s="111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3"/>
      <c r="B214" s="111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3"/>
      <c r="B215" s="111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3"/>
      <c r="B216" s="111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3"/>
      <c r="B217" s="111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3"/>
      <c r="B218" s="111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3"/>
      <c r="B219" s="111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3"/>
      <c r="B220" s="111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3"/>
      <c r="B221" s="111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3"/>
      <c r="B222" s="111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3"/>
      <c r="B223" s="111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3"/>
      <c r="B224" s="111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3"/>
      <c r="B225" s="111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3"/>
      <c r="B226" s="111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3"/>
      <c r="B227" s="111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3"/>
      <c r="B228" s="111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3"/>
      <c r="B229" s="111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3"/>
      <c r="B230" s="111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3"/>
      <c r="B231" s="111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3"/>
      <c r="B232" s="111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3"/>
      <c r="B233" s="111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3"/>
      <c r="B234" s="111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3"/>
      <c r="B235" s="111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3"/>
      <c r="B236" s="111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3"/>
      <c r="B237" s="111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3"/>
      <c r="B238" s="111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3"/>
      <c r="B239" s="111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3"/>
      <c r="B240" s="111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3"/>
      <c r="B241" s="111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3"/>
      <c r="B242" s="111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3"/>
      <c r="B243" s="111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3"/>
      <c r="B244" s="111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3"/>
      <c r="B245" s="111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3"/>
      <c r="B246" s="111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3"/>
      <c r="B247" s="111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3"/>
      <c r="B248" s="111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3"/>
      <c r="B249" s="111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3"/>
      <c r="B250" s="111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3"/>
      <c r="B251" s="111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3"/>
      <c r="B252" s="111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3"/>
      <c r="B253" s="111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3"/>
      <c r="B254" s="111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3"/>
      <c r="B255" s="111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3"/>
      <c r="B256" s="111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3"/>
      <c r="B257" s="111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3"/>
      <c r="B258" s="111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3"/>
      <c r="B259" s="111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3"/>
      <c r="B260" s="111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3"/>
      <c r="B261" s="111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3"/>
      <c r="B262" s="111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3"/>
      <c r="B263" s="111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3"/>
      <c r="B264" s="111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3"/>
      <c r="B265" s="111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3"/>
      <c r="B266" s="111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3"/>
      <c r="B267" s="111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3"/>
      <c r="B268" s="111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3"/>
      <c r="B269" s="111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3"/>
      <c r="B270" s="111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3"/>
      <c r="B271" s="111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3"/>
      <c r="B272" s="111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3"/>
      <c r="B273" s="111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3"/>
      <c r="B274" s="111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3"/>
      <c r="B275" s="111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3"/>
      <c r="B276" s="111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3"/>
      <c r="B277" s="111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3"/>
      <c r="B278" s="111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3"/>
      <c r="B279" s="111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3"/>
      <c r="B280" s="111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3"/>
      <c r="B281" s="111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3"/>
      <c r="B282" s="111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3"/>
      <c r="B283" s="111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3"/>
      <c r="B284" s="111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3"/>
      <c r="B285" s="111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3"/>
      <c r="B286" s="111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3"/>
      <c r="B287" s="111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3"/>
      <c r="B288" s="111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3"/>
      <c r="B289" s="111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3"/>
      <c r="B290" s="111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3"/>
      <c r="B291" s="111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3"/>
      <c r="B292" s="111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3"/>
      <c r="B293" s="111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3"/>
      <c r="B294" s="111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3"/>
      <c r="B295" s="111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3"/>
      <c r="B296" s="111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3"/>
      <c r="B297" s="111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3"/>
      <c r="B298" s="111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3"/>
      <c r="B299" s="111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3"/>
      <c r="B300" s="111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3"/>
      <c r="B301" s="111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3"/>
      <c r="B302" s="111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3"/>
      <c r="B303" s="111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3"/>
      <c r="B304" s="111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3"/>
      <c r="B305" s="111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3"/>
      <c r="B306" s="111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3"/>
      <c r="B307" s="111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3"/>
      <c r="B308" s="111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3"/>
      <c r="B309" s="111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3"/>
      <c r="B310" s="111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3"/>
      <c r="B311" s="111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3"/>
      <c r="B312" s="111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3"/>
      <c r="B313" s="111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3"/>
      <c r="B314" s="111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3"/>
      <c r="B315" s="111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3"/>
      <c r="B316" s="111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3"/>
      <c r="B317" s="111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3"/>
      <c r="B318" s="111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3"/>
      <c r="B319" s="111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3"/>
      <c r="B320" s="111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3"/>
      <c r="B321" s="111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3"/>
      <c r="B322" s="111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3"/>
      <c r="B323" s="111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3"/>
      <c r="B324" s="111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3"/>
      <c r="B325" s="111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3"/>
      <c r="B326" s="111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3"/>
      <c r="B327" s="111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3"/>
      <c r="B328" s="111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3"/>
      <c r="B329" s="111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3"/>
      <c r="B330" s="111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3"/>
      <c r="B331" s="111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3"/>
      <c r="B332" s="111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3"/>
      <c r="B333" s="111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3"/>
      <c r="B334" s="111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3"/>
      <c r="B335" s="111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3"/>
      <c r="B336" s="111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3"/>
      <c r="B337" s="111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3"/>
      <c r="B338" s="111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3"/>
      <c r="B339" s="111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3"/>
      <c r="B340" s="111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3"/>
      <c r="B341" s="111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3"/>
      <c r="B342" s="111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3"/>
      <c r="B343" s="111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3"/>
      <c r="B344" s="111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3"/>
      <c r="B345" s="111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3"/>
      <c r="B346" s="111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3"/>
      <c r="B347" s="111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3"/>
      <c r="B348" s="111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3"/>
      <c r="B349" s="111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3"/>
      <c r="B350" s="111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3"/>
      <c r="B351" s="111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3"/>
      <c r="B352" s="111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3"/>
      <c r="B353" s="111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3"/>
      <c r="B354" s="111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3"/>
      <c r="B355" s="111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3"/>
      <c r="B356" s="111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3"/>
      <c r="B357" s="111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3"/>
      <c r="B358" s="111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3"/>
      <c r="B359" s="111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3"/>
      <c r="B360" s="111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3"/>
      <c r="B361" s="111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3"/>
      <c r="B362" s="111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3"/>
      <c r="B363" s="111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3"/>
      <c r="B364" s="111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3"/>
      <c r="B365" s="111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3"/>
      <c r="B366" s="111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3"/>
      <c r="B367" s="111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3"/>
      <c r="B368" s="111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3"/>
      <c r="B369" s="111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3"/>
      <c r="B370" s="111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3"/>
      <c r="B371" s="111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3"/>
      <c r="B372" s="111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3"/>
      <c r="B373" s="111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3"/>
      <c r="B374" s="111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3"/>
      <c r="B375" s="111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3"/>
      <c r="B376" s="111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3"/>
      <c r="B377" s="111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3"/>
      <c r="B378" s="111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3"/>
      <c r="B379" s="111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3"/>
      <c r="B380" s="111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3"/>
      <c r="B381" s="111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3"/>
      <c r="B382" s="111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3"/>
      <c r="B383" s="111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3"/>
      <c r="B384" s="111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3"/>
      <c r="B385" s="111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3"/>
      <c r="B386" s="111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3"/>
      <c r="B387" s="111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3"/>
      <c r="B388" s="111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3"/>
      <c r="B389" s="111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3"/>
      <c r="B390" s="111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3"/>
      <c r="B391" s="111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3"/>
      <c r="B392" s="111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3"/>
      <c r="B393" s="111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3"/>
      <c r="B394" s="111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3"/>
      <c r="B395" s="111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3"/>
      <c r="B396" s="111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3"/>
      <c r="B397" s="111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3"/>
      <c r="B398" s="111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3"/>
      <c r="B399" s="111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3"/>
      <c r="B400" s="111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3"/>
      <c r="B401" s="111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3"/>
      <c r="B402" s="111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3"/>
      <c r="B403" s="111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3"/>
      <c r="B404" s="111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3"/>
      <c r="B405" s="111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3"/>
      <c r="B406" s="111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3"/>
      <c r="B407" s="111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3"/>
      <c r="B408" s="111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3"/>
      <c r="B409" s="111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3"/>
      <c r="B410" s="111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3"/>
      <c r="B411" s="111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3"/>
      <c r="B412" s="111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3"/>
      <c r="B413" s="111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3"/>
      <c r="B414" s="111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3"/>
      <c r="B415" s="111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3"/>
      <c r="B416" s="111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3"/>
      <c r="B417" s="111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3"/>
      <c r="B418" s="111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3"/>
      <c r="B419" s="111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3"/>
      <c r="B420" s="111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3"/>
      <c r="B421" s="111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3"/>
      <c r="B422" s="111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3"/>
      <c r="B423" s="111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3"/>
      <c r="B424" s="111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3"/>
      <c r="B425" s="111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3"/>
      <c r="B426" s="111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3"/>
      <c r="B427" s="111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3"/>
      <c r="B428" s="111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3"/>
      <c r="B429" s="111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3"/>
      <c r="B430" s="111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3"/>
      <c r="B431" s="111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3"/>
      <c r="B432" s="111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3"/>
      <c r="B433" s="111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3"/>
      <c r="B434" s="111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3"/>
      <c r="B435" s="111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3"/>
      <c r="B436" s="111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3"/>
      <c r="B437" s="111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3"/>
      <c r="B438" s="111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3"/>
      <c r="B439" s="111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3"/>
      <c r="B440" s="111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3"/>
      <c r="B441" s="111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3"/>
      <c r="B442" s="111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3"/>
      <c r="B443" s="111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3"/>
      <c r="B444" s="111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3"/>
      <c r="B445" s="111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3"/>
      <c r="B446" s="111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3"/>
      <c r="B447" s="111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3"/>
      <c r="B448" s="111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3"/>
      <c r="B449" s="111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3"/>
      <c r="B450" s="111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3"/>
      <c r="B451" s="111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3"/>
      <c r="B452" s="111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3"/>
      <c r="B453" s="111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3"/>
      <c r="B454" s="111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3"/>
      <c r="B455" s="111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3"/>
      <c r="B456" s="111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3"/>
      <c r="B457" s="111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3"/>
      <c r="B458" s="111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3"/>
      <c r="B459" s="111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3"/>
      <c r="B460" s="111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3"/>
      <c r="B461" s="111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3"/>
      <c r="B462" s="111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3"/>
      <c r="B463" s="111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3"/>
      <c r="B464" s="111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3"/>
      <c r="B465" s="111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3"/>
      <c r="B466" s="111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3"/>
      <c r="B467" s="111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3"/>
      <c r="B468" s="111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3"/>
      <c r="B469" s="111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3"/>
      <c r="B470" s="111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3"/>
      <c r="B471" s="111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3"/>
      <c r="B472" s="111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3"/>
      <c r="B473" s="111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3"/>
      <c r="B474" s="111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3"/>
      <c r="B475" s="111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3"/>
      <c r="B476" s="111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3"/>
      <c r="B477" s="111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3"/>
      <c r="B478" s="111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3"/>
      <c r="B479" s="111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3"/>
      <c r="B480" s="111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3"/>
      <c r="B481" s="111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3"/>
      <c r="B482" s="111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3"/>
      <c r="B483" s="111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3"/>
      <c r="B484" s="111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3"/>
      <c r="B485" s="111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3"/>
      <c r="B486" s="111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3"/>
      <c r="B487" s="111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3"/>
      <c r="B488" s="111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3"/>
      <c r="B489" s="111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3"/>
      <c r="B490" s="111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3"/>
      <c r="B491" s="111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3"/>
      <c r="B492" s="111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3"/>
      <c r="B493" s="111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3"/>
      <c r="B494" s="111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3"/>
      <c r="B495" s="111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3"/>
      <c r="B496" s="111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3"/>
      <c r="B497" s="111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3"/>
      <c r="B498" s="111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3"/>
      <c r="B499" s="111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3"/>
      <c r="B500" s="111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3"/>
      <c r="B501" s="111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3"/>
      <c r="B502" s="111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3"/>
      <c r="B503" s="111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3"/>
      <c r="B504" s="111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3"/>
      <c r="B505" s="111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3"/>
      <c r="B506" s="111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3"/>
      <c r="B507" s="111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3"/>
      <c r="B508" s="111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3"/>
      <c r="B509" s="111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3"/>
      <c r="B510" s="111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3"/>
      <c r="B511" s="111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3"/>
      <c r="B512" s="111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3"/>
      <c r="B513" s="111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3"/>
      <c r="B514" s="111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3"/>
      <c r="B515" s="111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3"/>
      <c r="B516" s="111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3"/>
      <c r="B517" s="111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3"/>
      <c r="B518" s="111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3"/>
      <c r="B519" s="111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3"/>
      <c r="B520" s="111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3"/>
      <c r="B521" s="111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3"/>
      <c r="B522" s="111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3"/>
      <c r="B523" s="111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3"/>
      <c r="B524" s="111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3"/>
      <c r="B525" s="111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3"/>
      <c r="B526" s="111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3"/>
      <c r="B527" s="111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3"/>
      <c r="B528" s="111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3"/>
      <c r="B529" s="111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3"/>
      <c r="B530" s="111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3"/>
      <c r="B531" s="111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3"/>
      <c r="B532" s="111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3"/>
      <c r="B533" s="111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3"/>
      <c r="B534" s="111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3"/>
      <c r="B535" s="111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3"/>
      <c r="B536" s="111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3"/>
      <c r="B537" s="111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3"/>
      <c r="B538" s="111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3"/>
      <c r="B539" s="111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3"/>
      <c r="B540" s="111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3"/>
      <c r="B541" s="111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3"/>
      <c r="B542" s="111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3"/>
      <c r="B543" s="111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3"/>
      <c r="B544" s="111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3"/>
      <c r="B545" s="111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3"/>
      <c r="B546" s="111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3"/>
      <c r="B547" s="111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3"/>
      <c r="B548" s="111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3"/>
      <c r="B549" s="111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3"/>
      <c r="B550" s="111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3"/>
      <c r="B551" s="111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3"/>
      <c r="B552" s="111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3"/>
      <c r="B553" s="111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3"/>
      <c r="B554" s="111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3"/>
      <c r="B555" s="111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3"/>
      <c r="B556" s="111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3"/>
      <c r="B557" s="111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3"/>
      <c r="B558" s="111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3"/>
      <c r="B559" s="111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3"/>
      <c r="B560" s="111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3"/>
      <c r="B561" s="111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3"/>
      <c r="B562" s="111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3"/>
      <c r="B563" s="111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3"/>
      <c r="B564" s="111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3"/>
      <c r="B565" s="111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3"/>
      <c r="B566" s="111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3"/>
      <c r="B567" s="111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3"/>
      <c r="B568" s="111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3"/>
      <c r="B569" s="111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3"/>
      <c r="B570" s="111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3"/>
      <c r="B571" s="111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3"/>
      <c r="B572" s="111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3"/>
      <c r="B573" s="111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3"/>
      <c r="B574" s="111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3"/>
      <c r="B575" s="111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3"/>
      <c r="B576" s="111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3"/>
      <c r="B577" s="111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3"/>
      <c r="B578" s="111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3"/>
      <c r="B579" s="111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3"/>
      <c r="B580" s="111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3"/>
      <c r="B581" s="111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3"/>
      <c r="B582" s="111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3"/>
      <c r="B583" s="111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3"/>
      <c r="B584" s="111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3"/>
      <c r="B585" s="111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3"/>
      <c r="B586" s="111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3"/>
      <c r="B587" s="111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3"/>
      <c r="B588" s="111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3"/>
      <c r="B589" s="111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3"/>
      <c r="B590" s="111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3"/>
      <c r="B591" s="111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3"/>
      <c r="B592" s="111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3"/>
      <c r="B593" s="111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3"/>
      <c r="B594" s="111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3"/>
      <c r="B595" s="111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3"/>
      <c r="B596" s="111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3"/>
      <c r="B597" s="111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3"/>
      <c r="B598" s="111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3"/>
      <c r="B599" s="111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3"/>
      <c r="B600" s="111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3"/>
      <c r="B601" s="111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3"/>
      <c r="B602" s="111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3"/>
      <c r="B603" s="111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3"/>
      <c r="B604" s="111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3"/>
      <c r="B605" s="111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3"/>
      <c r="B606" s="111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3"/>
      <c r="B607" s="111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3"/>
      <c r="B608" s="111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3"/>
      <c r="B609" s="111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3"/>
      <c r="B610" s="111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3"/>
      <c r="B611" s="111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3"/>
      <c r="B612" s="111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3"/>
      <c r="B613" s="111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3"/>
      <c r="B614" s="111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3"/>
      <c r="B615" s="111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3"/>
      <c r="B616" s="111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3"/>
      <c r="B617" s="111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3"/>
      <c r="B618" s="111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3"/>
      <c r="B619" s="111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3"/>
      <c r="B620" s="111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3"/>
      <c r="B621" s="111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3"/>
      <c r="B622" s="111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3"/>
      <c r="B623" s="111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3"/>
      <c r="B624" s="111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3"/>
      <c r="B625" s="111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3"/>
      <c r="B626" s="111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3"/>
      <c r="B627" s="111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4" max="4" width="19.67"/>
    <col customWidth="1" min="7" max="7" width="14.78"/>
    <col customWidth="1" min="8" max="8" width="34.44"/>
  </cols>
  <sheetData>
    <row r="1">
      <c r="A1" s="112" t="s">
        <v>433</v>
      </c>
      <c r="B1" s="112" t="s">
        <v>434</v>
      </c>
      <c r="C1" s="112" t="s">
        <v>435</v>
      </c>
      <c r="D1" s="112" t="s">
        <v>436</v>
      </c>
      <c r="E1" s="112" t="s">
        <v>437</v>
      </c>
      <c r="F1" s="112" t="s">
        <v>438</v>
      </c>
      <c r="G1" s="112" t="s">
        <v>439</v>
      </c>
      <c r="H1" s="113" t="s">
        <v>440</v>
      </c>
    </row>
    <row r="2" ht="88.5" customHeight="1">
      <c r="A2" s="114"/>
      <c r="B2" s="114"/>
      <c r="C2" s="114"/>
      <c r="D2" s="115"/>
      <c r="E2" s="114"/>
      <c r="F2" s="114"/>
      <c r="G2" s="114"/>
      <c r="H2" s="114"/>
    </row>
    <row r="3" ht="88.5" customHeight="1">
      <c r="A3" s="114"/>
      <c r="B3" s="114"/>
      <c r="C3" s="114"/>
      <c r="D3" s="115"/>
      <c r="E3" s="114"/>
      <c r="F3" s="114"/>
      <c r="G3" s="114"/>
      <c r="H3" s="114"/>
    </row>
    <row r="4" ht="88.5" customHeight="1">
      <c r="A4" s="114"/>
      <c r="B4" s="114"/>
      <c r="C4" s="114"/>
      <c r="D4" s="115"/>
      <c r="E4" s="114"/>
      <c r="F4" s="114"/>
      <c r="G4" s="114"/>
      <c r="H4" s="114"/>
    </row>
    <row r="5" ht="88.5" customHeight="1">
      <c r="A5" s="114"/>
      <c r="B5" s="114"/>
      <c r="C5" s="114"/>
      <c r="D5" s="115"/>
      <c r="E5" s="114"/>
      <c r="F5" s="114"/>
      <c r="G5" s="114"/>
      <c r="H5" s="114"/>
    </row>
    <row r="6" ht="88.5" customHeight="1">
      <c r="A6" s="114"/>
      <c r="B6" s="114"/>
      <c r="C6" s="114"/>
      <c r="D6" s="115"/>
      <c r="E6" s="114"/>
      <c r="F6" s="114"/>
      <c r="G6" s="114"/>
      <c r="H6" s="114"/>
    </row>
    <row r="7" ht="88.5" customHeight="1">
      <c r="A7" s="114"/>
      <c r="B7" s="114"/>
      <c r="C7" s="114"/>
      <c r="D7" s="115"/>
      <c r="E7" s="114"/>
      <c r="F7" s="114"/>
      <c r="G7" s="114"/>
      <c r="H7" s="114"/>
    </row>
    <row r="8" ht="88.5" customHeight="1">
      <c r="A8" s="114"/>
      <c r="B8" s="114"/>
      <c r="C8" s="114"/>
      <c r="D8" s="115"/>
      <c r="E8" s="114"/>
      <c r="F8" s="114"/>
      <c r="G8" s="114"/>
      <c r="H8" s="114"/>
    </row>
    <row r="9" ht="88.5" customHeight="1">
      <c r="A9" s="114"/>
      <c r="B9" s="114"/>
      <c r="C9" s="114"/>
      <c r="D9" s="115"/>
      <c r="E9" s="114"/>
      <c r="F9" s="114"/>
      <c r="G9" s="114"/>
      <c r="H9" s="114"/>
    </row>
    <row r="10" ht="88.5" customHeight="1">
      <c r="A10" s="114"/>
      <c r="B10" s="114"/>
      <c r="C10" s="114"/>
      <c r="D10" s="115"/>
      <c r="E10" s="114"/>
      <c r="F10" s="114"/>
      <c r="G10" s="114"/>
      <c r="H10" s="114"/>
    </row>
    <row r="11" ht="88.5" customHeight="1">
      <c r="A11" s="114"/>
      <c r="B11" s="114"/>
      <c r="C11" s="114"/>
      <c r="D11" s="115"/>
      <c r="E11" s="114"/>
      <c r="F11" s="114"/>
      <c r="G11" s="114"/>
      <c r="H11" s="114"/>
    </row>
    <row r="12" ht="88.5" customHeight="1">
      <c r="A12" s="114"/>
      <c r="B12" s="114"/>
      <c r="C12" s="114"/>
      <c r="D12" s="115"/>
      <c r="E12" s="114"/>
      <c r="F12" s="114"/>
      <c r="G12" s="114"/>
      <c r="H12" s="114"/>
    </row>
    <row r="13" ht="88.5" customHeight="1">
      <c r="A13" s="114"/>
      <c r="B13" s="114"/>
      <c r="C13" s="114"/>
      <c r="D13" s="115"/>
      <c r="E13" s="114"/>
      <c r="F13" s="114"/>
      <c r="G13" s="114"/>
      <c r="H13" s="114"/>
    </row>
    <row r="14" ht="88.5" customHeight="1">
      <c r="A14" s="114"/>
      <c r="B14" s="114"/>
      <c r="C14" s="114"/>
      <c r="D14" s="115"/>
      <c r="E14" s="114"/>
      <c r="F14" s="114"/>
      <c r="G14" s="114"/>
      <c r="H14" s="114"/>
    </row>
    <row r="15" ht="88.5" customHeight="1">
      <c r="A15" s="114"/>
      <c r="B15" s="114"/>
      <c r="C15" s="114"/>
      <c r="D15" s="115"/>
      <c r="E15" s="114"/>
      <c r="F15" s="114"/>
      <c r="G15" s="114"/>
      <c r="H15" s="114"/>
    </row>
    <row r="16" ht="88.5" customHeight="1">
      <c r="A16" s="114"/>
      <c r="B16" s="114"/>
      <c r="C16" s="114"/>
      <c r="D16" s="115"/>
      <c r="E16" s="114"/>
      <c r="F16" s="114"/>
      <c r="G16" s="114"/>
      <c r="H16" s="114"/>
    </row>
    <row r="17" ht="88.5" customHeight="1">
      <c r="A17" s="114"/>
      <c r="B17" s="114"/>
      <c r="C17" s="114"/>
      <c r="D17" s="115"/>
      <c r="E17" s="114"/>
      <c r="F17" s="114"/>
      <c r="G17" s="114"/>
      <c r="H17" s="114"/>
    </row>
    <row r="18" ht="88.5" customHeight="1">
      <c r="A18" s="114"/>
      <c r="B18" s="114"/>
      <c r="C18" s="114"/>
      <c r="D18" s="115"/>
      <c r="E18" s="114"/>
      <c r="F18" s="114"/>
      <c r="G18" s="114"/>
      <c r="H18" s="114"/>
    </row>
    <row r="19" ht="88.5" customHeight="1">
      <c r="A19" s="114"/>
      <c r="B19" s="114"/>
      <c r="C19" s="114"/>
      <c r="D19" s="115"/>
      <c r="E19" s="114"/>
      <c r="F19" s="114"/>
      <c r="G19" s="114"/>
      <c r="H19" s="114"/>
    </row>
    <row r="20" ht="88.5" customHeight="1">
      <c r="A20" s="114"/>
      <c r="B20" s="114"/>
      <c r="C20" s="114"/>
      <c r="D20" s="115"/>
      <c r="E20" s="114"/>
      <c r="F20" s="114"/>
      <c r="G20" s="114"/>
      <c r="H20" s="114"/>
    </row>
    <row r="21" ht="88.5" customHeight="1">
      <c r="A21" s="114"/>
      <c r="B21" s="114"/>
      <c r="C21" s="114"/>
      <c r="D21" s="115"/>
      <c r="E21" s="114"/>
      <c r="F21" s="114"/>
      <c r="G21" s="114"/>
      <c r="H21" s="114"/>
    </row>
    <row r="22" ht="88.5" customHeight="1">
      <c r="A22" s="114"/>
      <c r="B22" s="114"/>
      <c r="C22" s="114"/>
      <c r="D22" s="115"/>
      <c r="E22" s="114"/>
      <c r="F22" s="114"/>
      <c r="G22" s="114"/>
      <c r="H22" s="114"/>
    </row>
    <row r="23" ht="88.5" customHeight="1">
      <c r="A23" s="114"/>
      <c r="B23" s="114"/>
      <c r="C23" s="114"/>
      <c r="D23" s="115"/>
      <c r="E23" s="114"/>
      <c r="F23" s="114"/>
      <c r="G23" s="114"/>
      <c r="H23" s="114"/>
    </row>
    <row r="24" ht="88.5" customHeight="1">
      <c r="A24" s="114"/>
      <c r="B24" s="114"/>
      <c r="C24" s="114"/>
      <c r="D24" s="115"/>
      <c r="E24" s="114"/>
      <c r="F24" s="114"/>
      <c r="G24" s="114"/>
      <c r="H24" s="114"/>
    </row>
    <row r="25" ht="88.5" customHeight="1">
      <c r="A25" s="114"/>
      <c r="B25" s="114"/>
      <c r="C25" s="114"/>
      <c r="D25" s="115"/>
      <c r="E25" s="114"/>
      <c r="F25" s="114"/>
      <c r="G25" s="114"/>
      <c r="H25" s="114"/>
    </row>
    <row r="26" ht="88.5" customHeight="1">
      <c r="A26" s="114"/>
      <c r="B26" s="114"/>
      <c r="C26" s="114"/>
      <c r="D26" s="115"/>
      <c r="E26" s="114"/>
      <c r="F26" s="114"/>
      <c r="G26" s="114"/>
      <c r="H26" s="114"/>
    </row>
    <row r="27" ht="88.5" customHeight="1">
      <c r="A27" s="114"/>
      <c r="B27" s="114"/>
      <c r="C27" s="114"/>
      <c r="D27" s="115"/>
      <c r="E27" s="114"/>
      <c r="F27" s="114"/>
      <c r="G27" s="114"/>
      <c r="H27" s="114"/>
    </row>
    <row r="28" ht="88.5" customHeight="1">
      <c r="A28" s="114"/>
      <c r="B28" s="114"/>
      <c r="C28" s="114"/>
      <c r="D28" s="115"/>
      <c r="E28" s="114"/>
      <c r="F28" s="114"/>
      <c r="G28" s="114"/>
      <c r="H28" s="114"/>
    </row>
    <row r="29" ht="88.5" customHeight="1">
      <c r="A29" s="114"/>
      <c r="B29" s="114"/>
      <c r="C29" s="114"/>
      <c r="D29" s="115"/>
      <c r="E29" s="114"/>
      <c r="F29" s="114"/>
      <c r="G29" s="114"/>
      <c r="H29" s="114"/>
    </row>
    <row r="30" ht="88.5" customHeight="1">
      <c r="A30" s="114"/>
      <c r="B30" s="114"/>
      <c r="C30" s="114"/>
      <c r="D30" s="115"/>
      <c r="E30" s="114"/>
      <c r="F30" s="114"/>
      <c r="G30" s="114"/>
      <c r="H30" s="114"/>
    </row>
    <row r="31" ht="88.5" customHeight="1">
      <c r="A31" s="114"/>
      <c r="B31" s="114"/>
      <c r="C31" s="114"/>
      <c r="D31" s="115"/>
      <c r="E31" s="114"/>
      <c r="F31" s="114"/>
      <c r="G31" s="114"/>
      <c r="H31" s="114"/>
    </row>
    <row r="32" ht="88.5" customHeight="1">
      <c r="A32" s="114"/>
      <c r="B32" s="114"/>
      <c r="C32" s="114"/>
      <c r="D32" s="115"/>
      <c r="E32" s="114"/>
      <c r="F32" s="114"/>
      <c r="G32" s="114"/>
      <c r="H32" s="114"/>
    </row>
    <row r="33" ht="88.5" customHeight="1">
      <c r="A33" s="114"/>
      <c r="B33" s="114"/>
      <c r="C33" s="114"/>
      <c r="D33" s="115"/>
      <c r="E33" s="114"/>
      <c r="F33" s="114"/>
      <c r="G33" s="114"/>
      <c r="H33" s="114"/>
    </row>
    <row r="34" ht="88.5" customHeight="1">
      <c r="A34" s="114"/>
      <c r="B34" s="114"/>
      <c r="C34" s="114"/>
      <c r="D34" s="115"/>
      <c r="E34" s="114"/>
      <c r="F34" s="114"/>
      <c r="G34" s="114"/>
      <c r="H34" s="114"/>
    </row>
    <row r="35" ht="88.5" customHeight="1">
      <c r="A35" s="114"/>
      <c r="B35" s="114"/>
      <c r="C35" s="114"/>
      <c r="D35" s="115"/>
      <c r="E35" s="114"/>
      <c r="F35" s="114"/>
      <c r="G35" s="114"/>
      <c r="H35" s="114"/>
    </row>
    <row r="36" ht="88.5" customHeight="1">
      <c r="A36" s="114"/>
      <c r="B36" s="114"/>
      <c r="C36" s="114"/>
      <c r="D36" s="115"/>
      <c r="E36" s="114"/>
      <c r="F36" s="114"/>
      <c r="G36" s="114"/>
      <c r="H36" s="114"/>
    </row>
    <row r="37" ht="88.5" customHeight="1">
      <c r="A37" s="114"/>
      <c r="B37" s="114"/>
      <c r="C37" s="114"/>
      <c r="D37" s="115"/>
      <c r="E37" s="114"/>
      <c r="F37" s="114"/>
      <c r="G37" s="114"/>
      <c r="H37" s="114"/>
    </row>
    <row r="38" ht="88.5" customHeight="1">
      <c r="A38" s="114"/>
      <c r="B38" s="114"/>
      <c r="C38" s="114"/>
      <c r="D38" s="115"/>
      <c r="E38" s="114"/>
      <c r="F38" s="114"/>
      <c r="G38" s="114"/>
      <c r="H38" s="114"/>
    </row>
    <row r="39" ht="88.5" customHeight="1">
      <c r="A39" s="114"/>
      <c r="B39" s="114"/>
      <c r="C39" s="114"/>
      <c r="D39" s="115"/>
      <c r="E39" s="114"/>
      <c r="F39" s="114"/>
      <c r="G39" s="114"/>
      <c r="H39" s="114"/>
    </row>
    <row r="40" ht="88.5" customHeight="1">
      <c r="A40" s="114"/>
      <c r="B40" s="114"/>
      <c r="C40" s="114"/>
      <c r="D40" s="115"/>
      <c r="E40" s="114"/>
      <c r="F40" s="114"/>
      <c r="G40" s="114"/>
      <c r="H40" s="114"/>
    </row>
    <row r="41" ht="88.5" customHeight="1">
      <c r="A41" s="114"/>
      <c r="B41" s="114"/>
      <c r="C41" s="114"/>
      <c r="D41" s="115"/>
      <c r="E41" s="114"/>
      <c r="F41" s="114"/>
      <c r="G41" s="114"/>
      <c r="H41" s="114"/>
    </row>
    <row r="42" ht="88.5" customHeight="1">
      <c r="A42" s="114"/>
      <c r="B42" s="114"/>
      <c r="C42" s="114"/>
      <c r="D42" s="115"/>
      <c r="E42" s="114"/>
      <c r="F42" s="114"/>
      <c r="G42" s="114"/>
      <c r="H42" s="114"/>
    </row>
    <row r="43" ht="88.5" customHeight="1">
      <c r="A43" s="114"/>
      <c r="B43" s="114"/>
      <c r="C43" s="114"/>
      <c r="D43" s="115"/>
      <c r="E43" s="114"/>
      <c r="F43" s="114"/>
      <c r="G43" s="114"/>
      <c r="H43" s="114"/>
    </row>
    <row r="44" ht="88.5" customHeight="1">
      <c r="A44" s="114"/>
      <c r="B44" s="114"/>
      <c r="C44" s="114"/>
      <c r="D44" s="115"/>
      <c r="E44" s="114"/>
      <c r="F44" s="114"/>
      <c r="G44" s="114"/>
      <c r="H44" s="114"/>
    </row>
    <row r="45" ht="88.5" customHeight="1">
      <c r="A45" s="114"/>
      <c r="B45" s="114"/>
      <c r="C45" s="114"/>
      <c r="D45" s="115"/>
      <c r="E45" s="114"/>
      <c r="F45" s="114"/>
      <c r="G45" s="114"/>
      <c r="H45" s="114"/>
    </row>
    <row r="46" ht="88.5" customHeight="1">
      <c r="A46" s="114"/>
      <c r="B46" s="114"/>
      <c r="C46" s="114"/>
      <c r="D46" s="115"/>
      <c r="E46" s="114"/>
      <c r="F46" s="114"/>
      <c r="G46" s="114"/>
      <c r="H46" s="114"/>
    </row>
    <row r="47" ht="88.5" customHeight="1">
      <c r="A47" s="114"/>
      <c r="B47" s="114"/>
      <c r="C47" s="114"/>
      <c r="D47" s="115"/>
      <c r="E47" s="114"/>
      <c r="F47" s="114"/>
      <c r="G47" s="114"/>
      <c r="H47" s="114"/>
    </row>
    <row r="48" ht="88.5" customHeight="1">
      <c r="A48" s="114"/>
      <c r="B48" s="114"/>
      <c r="C48" s="114"/>
      <c r="D48" s="115"/>
      <c r="E48" s="114"/>
      <c r="F48" s="114"/>
      <c r="G48" s="114"/>
      <c r="H48" s="114"/>
    </row>
    <row r="49" ht="88.5" customHeight="1">
      <c r="A49" s="114"/>
      <c r="B49" s="114"/>
      <c r="C49" s="114"/>
      <c r="D49" s="115"/>
      <c r="E49" s="114"/>
      <c r="F49" s="114"/>
      <c r="G49" s="114"/>
      <c r="H49" s="114"/>
    </row>
    <row r="50" ht="88.5" customHeight="1">
      <c r="A50" s="114"/>
      <c r="B50" s="114"/>
      <c r="C50" s="114"/>
      <c r="D50" s="115"/>
      <c r="E50" s="114"/>
      <c r="F50" s="114"/>
      <c r="G50" s="114"/>
      <c r="H50" s="114"/>
    </row>
    <row r="51" ht="88.5" customHeight="1">
      <c r="A51" s="114"/>
      <c r="B51" s="114"/>
      <c r="C51" s="114"/>
      <c r="D51" s="115"/>
      <c r="E51" s="114"/>
      <c r="F51" s="114"/>
      <c r="G51" s="114"/>
      <c r="H51" s="114"/>
    </row>
    <row r="52" ht="88.5" customHeight="1">
      <c r="A52" s="114"/>
      <c r="B52" s="114"/>
      <c r="C52" s="114"/>
      <c r="D52" s="115"/>
      <c r="E52" s="114"/>
      <c r="F52" s="114"/>
      <c r="G52" s="114"/>
      <c r="H52" s="114"/>
    </row>
    <row r="53" ht="88.5" customHeight="1">
      <c r="A53" s="114"/>
      <c r="B53" s="114"/>
      <c r="C53" s="114"/>
      <c r="D53" s="115"/>
      <c r="E53" s="114"/>
      <c r="F53" s="114"/>
      <c r="G53" s="114"/>
      <c r="H53" s="114"/>
    </row>
    <row r="54" ht="88.5" customHeight="1">
      <c r="A54" s="114"/>
      <c r="B54" s="114"/>
      <c r="C54" s="114"/>
      <c r="D54" s="115"/>
      <c r="E54" s="114"/>
      <c r="F54" s="114"/>
      <c r="G54" s="114"/>
      <c r="H54" s="114"/>
    </row>
    <row r="55" ht="88.5" customHeight="1">
      <c r="A55" s="114"/>
      <c r="B55" s="114"/>
      <c r="C55" s="114"/>
      <c r="D55" s="115"/>
      <c r="E55" s="114"/>
      <c r="F55" s="114"/>
      <c r="G55" s="114"/>
      <c r="H55" s="114"/>
    </row>
    <row r="56" ht="88.5" customHeight="1">
      <c r="A56" s="114"/>
      <c r="B56" s="114"/>
      <c r="C56" s="114"/>
      <c r="D56" s="115"/>
      <c r="E56" s="114"/>
      <c r="F56" s="114"/>
      <c r="G56" s="114"/>
      <c r="H56" s="114"/>
    </row>
    <row r="57" ht="88.5" customHeight="1">
      <c r="A57" s="114"/>
      <c r="B57" s="114"/>
      <c r="C57" s="114"/>
      <c r="D57" s="115"/>
      <c r="E57" s="114"/>
      <c r="F57" s="114"/>
      <c r="G57" s="114"/>
      <c r="H57" s="114"/>
    </row>
    <row r="58" ht="88.5" customHeight="1">
      <c r="A58" s="114"/>
      <c r="B58" s="114"/>
      <c r="C58" s="114"/>
      <c r="D58" s="115"/>
      <c r="E58" s="114"/>
      <c r="F58" s="114"/>
      <c r="G58" s="114"/>
      <c r="H58" s="114"/>
    </row>
    <row r="59" ht="88.5" customHeight="1">
      <c r="A59" s="114"/>
      <c r="B59" s="114"/>
      <c r="C59" s="114"/>
      <c r="D59" s="115"/>
      <c r="E59" s="114"/>
      <c r="F59" s="114"/>
      <c r="G59" s="114"/>
      <c r="H59" s="114"/>
    </row>
    <row r="60" ht="88.5" customHeight="1">
      <c r="A60" s="114"/>
      <c r="B60" s="114"/>
      <c r="C60" s="114"/>
      <c r="D60" s="115"/>
      <c r="E60" s="114"/>
      <c r="F60" s="114"/>
      <c r="G60" s="114"/>
      <c r="H60" s="114"/>
    </row>
    <row r="61" ht="88.5" customHeight="1">
      <c r="A61" s="114"/>
      <c r="B61" s="114"/>
      <c r="C61" s="114"/>
      <c r="D61" s="115"/>
      <c r="E61" s="114"/>
      <c r="F61" s="114"/>
      <c r="G61" s="114"/>
      <c r="H61" s="114"/>
    </row>
    <row r="62" ht="88.5" customHeight="1">
      <c r="A62" s="114"/>
      <c r="B62" s="114"/>
      <c r="C62" s="114"/>
      <c r="D62" s="115"/>
      <c r="E62" s="114"/>
      <c r="F62" s="114"/>
      <c r="G62" s="114"/>
      <c r="H62" s="114"/>
    </row>
    <row r="63" ht="88.5" customHeight="1">
      <c r="A63" s="114"/>
      <c r="B63" s="114"/>
      <c r="C63" s="114"/>
      <c r="D63" s="115"/>
      <c r="E63" s="114"/>
      <c r="F63" s="114"/>
      <c r="G63" s="114"/>
      <c r="H63" s="114"/>
    </row>
    <row r="64" ht="88.5" customHeight="1">
      <c r="A64" s="114"/>
      <c r="B64" s="114"/>
      <c r="C64" s="114"/>
      <c r="D64" s="115"/>
      <c r="E64" s="114"/>
      <c r="F64" s="114"/>
      <c r="G64" s="114"/>
      <c r="H64" s="114"/>
    </row>
    <row r="65" ht="88.5" customHeight="1">
      <c r="A65" s="114"/>
      <c r="B65" s="114"/>
      <c r="C65" s="114"/>
      <c r="D65" s="115"/>
      <c r="E65" s="114"/>
      <c r="F65" s="114"/>
      <c r="G65" s="114"/>
      <c r="H65" s="114"/>
    </row>
    <row r="66" ht="88.5" customHeight="1">
      <c r="A66" s="114"/>
      <c r="B66" s="114"/>
      <c r="C66" s="114"/>
      <c r="D66" s="115"/>
      <c r="E66" s="114"/>
      <c r="F66" s="114"/>
      <c r="G66" s="114"/>
      <c r="H66" s="114"/>
    </row>
    <row r="67" ht="88.5" customHeight="1">
      <c r="A67" s="114"/>
      <c r="B67" s="114"/>
      <c r="C67" s="114"/>
      <c r="D67" s="115"/>
      <c r="E67" s="114"/>
      <c r="F67" s="114"/>
      <c r="G67" s="114"/>
      <c r="H67" s="114"/>
    </row>
    <row r="68" ht="88.5" customHeight="1">
      <c r="A68" s="114"/>
      <c r="B68" s="114"/>
      <c r="C68" s="114"/>
      <c r="D68" s="115"/>
      <c r="E68" s="114"/>
      <c r="F68" s="114"/>
      <c r="G68" s="114"/>
      <c r="H68" s="114"/>
    </row>
    <row r="69" ht="88.5" customHeight="1">
      <c r="A69" s="114"/>
      <c r="B69" s="114"/>
      <c r="C69" s="114"/>
      <c r="D69" s="115"/>
      <c r="E69" s="114"/>
      <c r="F69" s="114"/>
      <c r="G69" s="114"/>
      <c r="H69" s="114"/>
    </row>
    <row r="70" ht="88.5" customHeight="1">
      <c r="A70" s="114"/>
      <c r="B70" s="114"/>
      <c r="C70" s="114"/>
      <c r="D70" s="115"/>
      <c r="E70" s="114"/>
      <c r="F70" s="114"/>
      <c r="G70" s="114"/>
      <c r="H70" s="114"/>
    </row>
    <row r="71" ht="88.5" customHeight="1">
      <c r="A71" s="114"/>
      <c r="B71" s="114"/>
      <c r="C71" s="114"/>
      <c r="D71" s="115"/>
      <c r="E71" s="114"/>
      <c r="F71" s="114"/>
      <c r="G71" s="114"/>
      <c r="H71" s="114"/>
    </row>
    <row r="72" ht="88.5" customHeight="1">
      <c r="A72" s="114"/>
      <c r="B72" s="114"/>
      <c r="C72" s="114"/>
      <c r="D72" s="115"/>
      <c r="E72" s="114"/>
      <c r="F72" s="114"/>
      <c r="G72" s="114"/>
      <c r="H72" s="114"/>
    </row>
    <row r="73" ht="88.5" customHeight="1">
      <c r="A73" s="114"/>
      <c r="B73" s="114"/>
      <c r="C73" s="114"/>
      <c r="D73" s="115"/>
      <c r="E73" s="114"/>
      <c r="F73" s="114"/>
      <c r="G73" s="114"/>
      <c r="H73" s="114"/>
    </row>
    <row r="74" ht="88.5" customHeight="1">
      <c r="A74" s="114"/>
      <c r="B74" s="114"/>
      <c r="C74" s="114"/>
      <c r="D74" s="115"/>
      <c r="E74" s="114"/>
      <c r="F74" s="114"/>
      <c r="G74" s="114"/>
      <c r="H74" s="114"/>
    </row>
    <row r="75" ht="88.5" customHeight="1">
      <c r="A75" s="114"/>
      <c r="B75" s="114"/>
      <c r="C75" s="114"/>
      <c r="D75" s="115"/>
      <c r="E75" s="114"/>
      <c r="F75" s="114"/>
      <c r="G75" s="114"/>
      <c r="H75" s="114"/>
    </row>
    <row r="76" ht="88.5" customHeight="1">
      <c r="A76" s="114"/>
      <c r="B76" s="114"/>
      <c r="C76" s="114"/>
      <c r="D76" s="115"/>
      <c r="E76" s="114"/>
      <c r="F76" s="114"/>
      <c r="G76" s="114"/>
      <c r="H76" s="114"/>
    </row>
    <row r="77" ht="88.5" customHeight="1">
      <c r="A77" s="114"/>
      <c r="B77" s="114"/>
      <c r="C77" s="114"/>
      <c r="D77" s="115"/>
      <c r="E77" s="114"/>
      <c r="F77" s="114"/>
      <c r="G77" s="114"/>
      <c r="H77" s="114"/>
    </row>
    <row r="78" ht="88.5" customHeight="1">
      <c r="A78" s="114"/>
      <c r="B78" s="114"/>
      <c r="C78" s="114"/>
      <c r="D78" s="115"/>
      <c r="E78" s="114"/>
      <c r="F78" s="114"/>
      <c r="G78" s="114"/>
      <c r="H78" s="114"/>
    </row>
    <row r="79" ht="88.5" customHeight="1">
      <c r="A79" s="114"/>
      <c r="B79" s="114"/>
      <c r="C79" s="114"/>
      <c r="D79" s="115"/>
      <c r="E79" s="114"/>
      <c r="F79" s="114"/>
      <c r="G79" s="114"/>
      <c r="H79" s="114"/>
    </row>
    <row r="80" ht="88.5" customHeight="1">
      <c r="A80" s="114"/>
      <c r="B80" s="114"/>
      <c r="C80" s="114"/>
      <c r="D80" s="115"/>
      <c r="E80" s="114"/>
      <c r="F80" s="114"/>
      <c r="G80" s="114"/>
      <c r="H80" s="114"/>
    </row>
    <row r="81" ht="88.5" customHeight="1">
      <c r="A81" s="114"/>
      <c r="B81" s="114"/>
      <c r="C81" s="114"/>
      <c r="D81" s="115"/>
      <c r="E81" s="114"/>
      <c r="F81" s="114"/>
      <c r="G81" s="114"/>
      <c r="H81" s="114"/>
    </row>
    <row r="82" ht="88.5" customHeight="1">
      <c r="A82" s="114"/>
      <c r="B82" s="114"/>
      <c r="C82" s="114"/>
      <c r="D82" s="115"/>
      <c r="E82" s="114"/>
      <c r="F82" s="114"/>
      <c r="G82" s="114"/>
      <c r="H82" s="114"/>
    </row>
    <row r="83" ht="88.5" customHeight="1">
      <c r="A83" s="114"/>
      <c r="B83" s="114"/>
      <c r="C83" s="114"/>
      <c r="D83" s="115"/>
      <c r="E83" s="114"/>
      <c r="F83" s="114"/>
      <c r="G83" s="114"/>
      <c r="H83" s="114"/>
    </row>
    <row r="84" ht="88.5" customHeight="1">
      <c r="A84" s="114"/>
      <c r="B84" s="114"/>
      <c r="C84" s="114"/>
      <c r="D84" s="115"/>
      <c r="E84" s="114"/>
      <c r="F84" s="114"/>
      <c r="G84" s="114"/>
      <c r="H84" s="114"/>
    </row>
    <row r="85" ht="88.5" customHeight="1">
      <c r="A85" s="114"/>
      <c r="B85" s="114"/>
      <c r="C85" s="114"/>
      <c r="D85" s="115"/>
      <c r="E85" s="114"/>
      <c r="F85" s="114"/>
      <c r="G85" s="114"/>
      <c r="H85" s="114"/>
    </row>
    <row r="86" ht="88.5" customHeight="1">
      <c r="A86" s="114"/>
      <c r="B86" s="114"/>
      <c r="C86" s="114"/>
      <c r="D86" s="115"/>
      <c r="E86" s="114"/>
      <c r="F86" s="114"/>
      <c r="G86" s="114"/>
      <c r="H86" s="114"/>
    </row>
    <row r="87" ht="88.5" customHeight="1">
      <c r="A87" s="114"/>
      <c r="B87" s="114"/>
      <c r="C87" s="114"/>
      <c r="D87" s="115"/>
      <c r="E87" s="114"/>
      <c r="F87" s="114"/>
      <c r="G87" s="114"/>
      <c r="H87" s="114"/>
    </row>
    <row r="88" ht="88.5" customHeight="1">
      <c r="A88" s="114"/>
      <c r="B88" s="114"/>
      <c r="C88" s="114"/>
      <c r="D88" s="115"/>
      <c r="E88" s="114"/>
      <c r="F88" s="114"/>
      <c r="G88" s="114"/>
      <c r="H88" s="114"/>
    </row>
    <row r="89" ht="88.5" customHeight="1">
      <c r="A89" s="114"/>
      <c r="B89" s="114"/>
      <c r="C89" s="114"/>
      <c r="D89" s="115"/>
      <c r="E89" s="114"/>
      <c r="F89" s="114"/>
      <c r="G89" s="114"/>
      <c r="H89" s="114"/>
    </row>
    <row r="90" ht="88.5" customHeight="1">
      <c r="A90" s="114"/>
      <c r="B90" s="114"/>
      <c r="C90" s="114"/>
      <c r="D90" s="115"/>
      <c r="E90" s="114"/>
      <c r="F90" s="114"/>
      <c r="G90" s="114"/>
      <c r="H90" s="114"/>
    </row>
    <row r="91" ht="88.5" customHeight="1">
      <c r="A91" s="114"/>
      <c r="B91" s="114"/>
      <c r="C91" s="114"/>
      <c r="D91" s="115"/>
      <c r="E91" s="114"/>
      <c r="F91" s="114"/>
      <c r="G91" s="114"/>
      <c r="H91" s="114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4.89"/>
  </cols>
  <sheetData>
    <row r="1">
      <c r="A1" s="116"/>
      <c r="B1" s="116" t="s">
        <v>441</v>
      </c>
      <c r="C1" s="116" t="s">
        <v>442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</row>
    <row r="2">
      <c r="A2" s="118">
        <v>1.0</v>
      </c>
      <c r="B2" s="119" t="s">
        <v>443</v>
      </c>
      <c r="C2" s="119" t="s">
        <v>444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</row>
    <row r="3">
      <c r="A3" s="118">
        <v>2.0</v>
      </c>
      <c r="B3" s="119" t="s">
        <v>445</v>
      </c>
      <c r="C3" s="119" t="s">
        <v>446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>
      <c r="A4" s="118">
        <v>3.0</v>
      </c>
      <c r="B4" s="119" t="s">
        <v>447</v>
      </c>
      <c r="C4" s="119" t="s">
        <v>448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</row>
    <row r="5">
      <c r="A5" s="118">
        <v>4.0</v>
      </c>
      <c r="B5" s="119" t="s">
        <v>449</v>
      </c>
      <c r="C5" s="119" t="s">
        <v>450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>
      <c r="A6" s="118">
        <v>5.0</v>
      </c>
      <c r="B6" s="119" t="s">
        <v>451</v>
      </c>
      <c r="C6" s="119" t="s">
        <v>452</v>
      </c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>
      <c r="A7" s="118">
        <v>6.0</v>
      </c>
      <c r="B7" s="119" t="s">
        <v>453</v>
      </c>
      <c r="C7" s="119" t="s">
        <v>454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>
      <c r="A8" s="118">
        <v>7.0</v>
      </c>
      <c r="B8" s="119" t="s">
        <v>455</v>
      </c>
      <c r="C8" s="119" t="s">
        <v>456</v>
      </c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>
      <c r="A9" s="118">
        <v>8.0</v>
      </c>
      <c r="B9" s="119" t="s">
        <v>457</v>
      </c>
      <c r="C9" s="119" t="s">
        <v>458</v>
      </c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>
      <c r="A10" s="118">
        <v>9.0</v>
      </c>
      <c r="B10" s="119" t="s">
        <v>459</v>
      </c>
      <c r="C10" s="119" t="s">
        <v>460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>
      <c r="A11" s="118">
        <v>10.0</v>
      </c>
      <c r="B11" s="119" t="s">
        <v>461</v>
      </c>
      <c r="C11" s="119" t="s">
        <v>462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>
      <c r="A12" s="118">
        <v>11.0</v>
      </c>
      <c r="B12" s="119" t="s">
        <v>463</v>
      </c>
      <c r="C12" s="119" t="s">
        <v>464</v>
      </c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>
      <c r="A13" s="118">
        <v>12.0</v>
      </c>
      <c r="B13" s="119" t="s">
        <v>465</v>
      </c>
      <c r="C13" s="119" t="s">
        <v>466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>
      <c r="A14" s="118">
        <v>13.0</v>
      </c>
      <c r="B14" s="119" t="s">
        <v>467</v>
      </c>
      <c r="C14" s="119" t="s">
        <v>468</v>
      </c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>
      <c r="A15" s="118">
        <v>14.0</v>
      </c>
      <c r="B15" s="119" t="s">
        <v>469</v>
      </c>
      <c r="C15" s="119" t="s">
        <v>470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>
      <c r="A16" s="118">
        <v>15.0</v>
      </c>
      <c r="B16" s="119" t="s">
        <v>471</v>
      </c>
      <c r="C16" s="119" t="s">
        <v>472</v>
      </c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>
      <c r="A17" s="118">
        <v>16.0</v>
      </c>
      <c r="B17" s="119" t="s">
        <v>473</v>
      </c>
      <c r="C17" s="119" t="s">
        <v>474</v>
      </c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>
      <c r="A18" s="118">
        <v>17.0</v>
      </c>
      <c r="B18" s="119" t="s">
        <v>475</v>
      </c>
      <c r="C18" s="119" t="s">
        <v>476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>
      <c r="A19" s="118">
        <v>18.0</v>
      </c>
      <c r="B19" s="119" t="s">
        <v>477</v>
      </c>
      <c r="C19" s="119" t="s">
        <v>478</v>
      </c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>
      <c r="A20" s="118">
        <v>19.0</v>
      </c>
      <c r="B20" s="119" t="s">
        <v>479</v>
      </c>
      <c r="C20" s="119" t="s">
        <v>480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>
      <c r="A21" s="118">
        <v>20.0</v>
      </c>
      <c r="B21" s="119" t="s">
        <v>481</v>
      </c>
      <c r="C21" s="119" t="s">
        <v>482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>
      <c r="A22" s="118">
        <v>21.0</v>
      </c>
      <c r="B22" s="119" t="s">
        <v>483</v>
      </c>
      <c r="C22" s="119" t="s">
        <v>484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>
      <c r="A23" s="118">
        <v>22.0</v>
      </c>
      <c r="B23" s="119" t="s">
        <v>485</v>
      </c>
      <c r="C23" s="119" t="s">
        <v>486</v>
      </c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53.25" customHeight="1">
      <c r="A1" s="116"/>
      <c r="B1" s="120" t="s">
        <v>487</v>
      </c>
      <c r="C1" s="116" t="s">
        <v>442</v>
      </c>
    </row>
    <row r="2">
      <c r="A2" s="118">
        <v>1.0</v>
      </c>
      <c r="B2" s="118" t="s">
        <v>488</v>
      </c>
      <c r="C2" s="118" t="s">
        <v>489</v>
      </c>
    </row>
    <row r="3">
      <c r="A3" s="118">
        <v>2.0</v>
      </c>
      <c r="B3" s="118" t="s">
        <v>490</v>
      </c>
      <c r="C3" s="118" t="s">
        <v>491</v>
      </c>
    </row>
    <row r="4">
      <c r="A4" s="118">
        <v>3.0</v>
      </c>
      <c r="B4" s="118" t="s">
        <v>492</v>
      </c>
      <c r="C4" s="118" t="s">
        <v>493</v>
      </c>
    </row>
    <row r="5">
      <c r="A5" s="118">
        <v>4.0</v>
      </c>
      <c r="B5" s="118" t="s">
        <v>494</v>
      </c>
      <c r="C5" s="118" t="s">
        <v>495</v>
      </c>
    </row>
    <row r="6">
      <c r="A6" s="118">
        <v>5.0</v>
      </c>
      <c r="B6" s="118" t="s">
        <v>496</v>
      </c>
      <c r="C6" s="118" t="s">
        <v>497</v>
      </c>
    </row>
    <row r="7">
      <c r="A7" s="118">
        <v>6.0</v>
      </c>
      <c r="B7" s="118" t="s">
        <v>498</v>
      </c>
      <c r="C7" s="118" t="s">
        <v>499</v>
      </c>
    </row>
    <row r="8">
      <c r="A8" s="118">
        <v>7.0</v>
      </c>
      <c r="B8" s="119"/>
      <c r="C8" s="119"/>
    </row>
    <row r="9">
      <c r="A9" s="121">
        <v>8.0</v>
      </c>
      <c r="B9" s="122"/>
      <c r="C9" s="122"/>
    </row>
    <row r="10">
      <c r="A10" s="121">
        <v>9.0</v>
      </c>
      <c r="B10" s="122"/>
      <c r="C10" s="122"/>
    </row>
    <row r="11">
      <c r="A11" s="122"/>
      <c r="B11" s="122"/>
      <c r="C11" s="122"/>
    </row>
    <row r="12">
      <c r="A12" s="122"/>
      <c r="B12" s="122"/>
      <c r="C12" s="122"/>
    </row>
    <row r="13">
      <c r="A13" s="122"/>
      <c r="B13" s="122"/>
      <c r="C13" s="122"/>
    </row>
    <row r="14">
      <c r="A14" s="122"/>
      <c r="B14" s="122"/>
      <c r="C14" s="122"/>
    </row>
    <row r="15">
      <c r="A15" s="122"/>
      <c r="B15" s="122"/>
      <c r="C15" s="122"/>
    </row>
    <row r="16">
      <c r="A16" s="122"/>
      <c r="B16" s="122"/>
      <c r="C16" s="1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6.0"/>
    <col customWidth="1" min="3" max="3" width="17.0"/>
    <col customWidth="1" min="4" max="18" width="10.44"/>
  </cols>
  <sheetData>
    <row r="1" ht="15.75" customHeight="1"/>
    <row r="2" ht="15.75" customHeight="1">
      <c r="A2" s="123" t="s">
        <v>500</v>
      </c>
      <c r="B2" s="123" t="s">
        <v>501</v>
      </c>
      <c r="C2" s="123" t="s">
        <v>502</v>
      </c>
    </row>
    <row r="3" ht="15.75" customHeight="1">
      <c r="A3" s="123" t="s">
        <v>61</v>
      </c>
      <c r="B3" s="123" t="s">
        <v>48</v>
      </c>
      <c r="C3" s="123" t="s">
        <v>66</v>
      </c>
    </row>
    <row r="4" ht="15.75" customHeight="1">
      <c r="A4" s="123" t="s">
        <v>62</v>
      </c>
      <c r="B4" s="123" t="s">
        <v>49</v>
      </c>
      <c r="C4" s="123" t="s">
        <v>67</v>
      </c>
    </row>
    <row r="5" ht="15.75" customHeight="1">
      <c r="A5" s="123" t="s">
        <v>63</v>
      </c>
      <c r="B5" s="123" t="s">
        <v>50</v>
      </c>
      <c r="C5" s="123" t="s">
        <v>68</v>
      </c>
    </row>
    <row r="6" ht="15.75" customHeight="1">
      <c r="A6" s="123" t="s">
        <v>64</v>
      </c>
      <c r="B6" s="123" t="s">
        <v>51</v>
      </c>
      <c r="C6" s="123" t="s">
        <v>69</v>
      </c>
      <c r="R6" s="123"/>
    </row>
    <row r="7" ht="15.75" customHeight="1">
      <c r="A7" s="123" t="s">
        <v>59</v>
      </c>
      <c r="B7" s="123" t="s">
        <v>52</v>
      </c>
      <c r="C7" s="123" t="s">
        <v>70</v>
      </c>
      <c r="R7" s="123"/>
    </row>
    <row r="8" ht="15.75" customHeight="1">
      <c r="A8" s="123" t="s">
        <v>65</v>
      </c>
      <c r="B8" s="123" t="s">
        <v>53</v>
      </c>
      <c r="C8" s="123" t="s">
        <v>71</v>
      </c>
      <c r="R8" s="123"/>
    </row>
    <row r="9" ht="15.75" customHeight="1">
      <c r="B9" s="123" t="s">
        <v>54</v>
      </c>
      <c r="C9" s="123" t="s">
        <v>72</v>
      </c>
      <c r="R9" s="123"/>
    </row>
    <row r="10" ht="15.75" customHeight="1">
      <c r="B10" s="123" t="s">
        <v>55</v>
      </c>
      <c r="C10" s="123" t="s">
        <v>73</v>
      </c>
      <c r="R10" s="123"/>
    </row>
    <row r="11" ht="15.75" customHeight="1">
      <c r="B11" s="123" t="s">
        <v>56</v>
      </c>
      <c r="C11" s="123" t="s">
        <v>74</v>
      </c>
      <c r="R11" s="123"/>
    </row>
    <row r="12" ht="15.75" customHeight="1">
      <c r="B12" s="123" t="s">
        <v>57</v>
      </c>
      <c r="C12" s="123" t="s">
        <v>75</v>
      </c>
      <c r="R12" s="123"/>
    </row>
    <row r="13" ht="15.75" customHeight="1">
      <c r="B13" s="123" t="s">
        <v>58</v>
      </c>
      <c r="C13" s="123" t="s">
        <v>76</v>
      </c>
      <c r="R13" s="123"/>
    </row>
    <row r="14" ht="15.75" customHeight="1">
      <c r="B14" s="123" t="s">
        <v>59</v>
      </c>
      <c r="C14" s="123" t="s">
        <v>77</v>
      </c>
      <c r="R14" s="123"/>
    </row>
    <row r="15" ht="15.75" customHeight="1">
      <c r="B15" s="123" t="s">
        <v>60</v>
      </c>
      <c r="C15" s="123" t="s">
        <v>78</v>
      </c>
      <c r="R15" s="123"/>
    </row>
    <row r="16" ht="15.75" customHeight="1">
      <c r="B16" s="123"/>
      <c r="C16" s="123"/>
      <c r="R16" s="123"/>
    </row>
    <row r="17" ht="15.75" customHeight="1">
      <c r="R17" s="123"/>
    </row>
    <row r="18" ht="15.75" customHeight="1">
      <c r="R18" s="123"/>
    </row>
    <row r="19" ht="15.75" customHeight="1">
      <c r="R19" s="123"/>
    </row>
    <row r="20" ht="15.75" customHeight="1">
      <c r="R20" s="1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6:R20">
      <formula1>$C$3:$C$15</formula1>
    </dataValidation>
  </dataValidations>
  <printOptions/>
  <pageMargins bottom="0.75" footer="0.0" header="0.0" left="0.7" right="0.7" top="0.75"/>
  <pageSetup orientation="landscape"/>
  <drawing r:id="rId1"/>
</worksheet>
</file>