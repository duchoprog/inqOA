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QUIRY" state="visible" r:id="rId4"/>
    <sheet sheetId="2" name="PRINT" state="hidden" r:id="rId5"/>
    <sheet sheetId="3" name="CERTIFICACIONES" state="hidden" r:id="rId6"/>
    <sheet sheetId="4" name="INCOTERM" state="hidden" r:id="rId7"/>
    <sheet sheetId="5" name="CODART PRODUCTO" state="hidden" r:id="rId8"/>
    <sheet sheetId="6" name="BORRADOR" state="hidden" r:id="rId9"/>
    <sheet sheetId="7" name="CODART ORIGEN" state="hidden" r:id="rId10"/>
    <sheet sheetId="8" name="CODART RESPONSABLE" state="hidden" r:id="rId11"/>
    <sheet sheetId="9" name="Hoja2" state="hidden" r:id="rId12"/>
  </sheets>
  <calcPr calcId="171027"/>
</workbook>
</file>

<file path=xl/sharedStrings.xml><?xml version="1.0" encoding="utf-8"?>
<sst xmlns="http://schemas.openxmlformats.org/spreadsheetml/2006/main" count="841" uniqueCount="534">
  <si>
    <t>PROYECTO</t>
  </si>
  <si>
    <t>sin_nombre_asignado</t>
  </si>
  <si>
    <t>MACHE</t>
  </si>
  <si>
    <t>CRIS</t>
  </si>
  <si>
    <t>GONZALO</t>
  </si>
  <si>
    <t>VICTOR</t>
  </si>
  <si>
    <t>ALE</t>
  </si>
  <si>
    <t>DIANA</t>
  </si>
  <si>
    <t>PLEASE FILL</t>
  </si>
  <si>
    <t>LOGO 1 COLOR 1 POSITION</t>
  </si>
  <si>
    <t>LOGO 1 COLOR 2 POSITION</t>
  </si>
  <si>
    <t>LOGO 1 COLOR 3 POSITIONS</t>
  </si>
  <si>
    <t>LOGO FULL COLOR 1 POSITION</t>
  </si>
  <si>
    <t>LOGO FULL COLOR 2 POSITION</t>
  </si>
  <si>
    <t>LOGO FULL COLOR 3 POSITION</t>
  </si>
  <si>
    <t>FULL PRINTING</t>
  </si>
  <si>
    <t>EMBROIDERY</t>
  </si>
  <si>
    <t>LASER</t>
  </si>
  <si>
    <t>BURN</t>
  </si>
  <si>
    <t>EMBOSSED</t>
  </si>
  <si>
    <t>OTHER</t>
  </si>
  <si>
    <t>NO LOGO</t>
  </si>
  <si>
    <t>PACKING INFORMATION</t>
  </si>
  <si>
    <t>EXW</t>
  </si>
  <si>
    <t>FOB Shanghai</t>
  </si>
  <si>
    <t>FOB Shenzhen</t>
  </si>
  <si>
    <t>FOB Ningbo-Zhoushan</t>
  </si>
  <si>
    <t>FOB Hong Kong</t>
  </si>
  <si>
    <t>FOB Guangzhou</t>
  </si>
  <si>
    <t>FOB Qingdao</t>
  </si>
  <si>
    <t>FOB Tianjin</t>
  </si>
  <si>
    <t>FOB Dalian</t>
  </si>
  <si>
    <t>FOB Xiamen</t>
  </si>
  <si>
    <t>FOB Yingkou</t>
  </si>
  <si>
    <t>FOB Taizhou</t>
  </si>
  <si>
    <t>FOB Yantian</t>
  </si>
  <si>
    <t>FILL BY GBP</t>
  </si>
  <si>
    <t>CARTON SIZES (CM)</t>
  </si>
  <si>
    <t>CBM PER BOX</t>
  </si>
  <si>
    <t>TOTAL BOXES</t>
  </si>
  <si>
    <t>TOTAL CBM</t>
  </si>
  <si>
    <t>TOTAL WEIGHT</t>
  </si>
  <si>
    <t>VOL. WEIGHT</t>
  </si>
  <si>
    <t>CODIGO SIN CORRELATIVO</t>
  </si>
  <si>
    <t>cantidades iguales de mismo articulo</t>
  </si>
  <si>
    <t xml:space="preserve">CODE NUMBER.     
(Fill by GBP)</t>
  </si>
  <si>
    <t>ABANICO</t>
  </si>
  <si>
    <t>ABRIDOR</t>
  </si>
  <si>
    <t>ACCESORIOS</t>
  </si>
  <si>
    <t>ALARMA</t>
  </si>
  <si>
    <t>ALMOHADON</t>
  </si>
  <si>
    <t>ALTAVOZ</t>
  </si>
  <si>
    <t>AMPLIFICADOR DE TELÉFONO</t>
  </si>
  <si>
    <t>ARTÍCULOS DE OFICINA</t>
  </si>
  <si>
    <t>AUDÍFONOS CON CAJA PLÁSTICA</t>
  </si>
  <si>
    <t>AURICULARES</t>
  </si>
  <si>
    <t xml:space="preserve">AZUCARERA </t>
  </si>
  <si>
    <t>BANDEJA ANTIADHERENTE</t>
  </si>
  <si>
    <t>BALDE 5L</t>
  </si>
  <si>
    <t>BANNER</t>
  </si>
  <si>
    <t>BASE CARGADORA</t>
  </si>
  <si>
    <t>BATERIAS</t>
  </si>
  <si>
    <t>BANDANA</t>
  </si>
  <si>
    <t>BANDEROLA</t>
  </si>
  <si>
    <t>BOLÍGRAFO CÁPSULA</t>
  </si>
  <si>
    <t>BLOC DE NOTAS ADHESIVAS</t>
  </si>
  <si>
    <t>BOLIGRAFO CON LASER</t>
  </si>
  <si>
    <t>BACKPACK PARA LAPTOP</t>
  </si>
  <si>
    <t>BANDEJA METALICA</t>
  </si>
  <si>
    <t>BARMAT</t>
  </si>
  <si>
    <t>BANDEJA PLASTICA</t>
  </si>
  <si>
    <t>BOLSO</t>
  </si>
  <si>
    <t>BOTELLA PLASTICA</t>
  </si>
  <si>
    <t>BOWL</t>
  </si>
  <si>
    <t>BAR RAIL</t>
  </si>
  <si>
    <t>BROCHA</t>
  </si>
  <si>
    <t>BOLSA</t>
  </si>
  <si>
    <t>BUSCADOR DE LLAVES</t>
  </si>
  <si>
    <t>CABLE USB</t>
  </si>
  <si>
    <t>BAR CADDY</t>
  </si>
  <si>
    <t>CAJA  CARTON</t>
  </si>
  <si>
    <t>CAMISA</t>
  </si>
  <si>
    <t>CAPOTA</t>
  </si>
  <si>
    <t>CARRIZO</t>
  </si>
  <si>
    <t>CUBETA</t>
  </si>
  <si>
    <t>CINTA CEFALICA</t>
  </si>
  <si>
    <t>CENEFA</t>
  </si>
  <si>
    <t>CHALECO</t>
  </si>
  <si>
    <t>CLAPPERS LED</t>
  </si>
  <si>
    <t>CUCHARA MEDIDORA</t>
  </si>
  <si>
    <t>COMPUTADORA</t>
  </si>
  <si>
    <t>COMEDERO</t>
  </si>
  <si>
    <t>CINTA MÉTRICA INTELIGENTE</t>
  </si>
  <si>
    <t>CARTEL DE NEON</t>
  </si>
  <si>
    <t>COASTER</t>
  </si>
  <si>
    <t>COCKTAIL SET</t>
  </si>
  <si>
    <t>COLLAR</t>
  </si>
  <si>
    <t>CARRY ON</t>
  </si>
  <si>
    <t>COOLER BAG</t>
  </si>
  <si>
    <t>COPA</t>
  </si>
  <si>
    <t>COVER</t>
  </si>
  <si>
    <t>CARPA</t>
  </si>
  <si>
    <t>CARRITO</t>
  </si>
  <si>
    <t>CARTUCHERA</t>
  </si>
  <si>
    <t>CARTEL</t>
  </si>
  <si>
    <t>CUBIERTOS</t>
  </si>
  <si>
    <t>CUCHARA</t>
  </si>
  <si>
    <t>DELANTAL</t>
  </si>
  <si>
    <t>DESTAPADOR</t>
  </si>
  <si>
    <t>DOMINO</t>
  </si>
  <si>
    <t>DRAWSTRING BAG</t>
  </si>
  <si>
    <t>DISFRAZ INFLABLE</t>
  </si>
  <si>
    <t>DISPLAY SAMSUNG</t>
  </si>
  <si>
    <t>ESTUCHE</t>
  </si>
  <si>
    <t>FLOWER POT</t>
  </si>
  <si>
    <t>FOAMBOARD</t>
  </si>
  <si>
    <t>FRISBEE</t>
  </si>
  <si>
    <t>FUENTE GATO</t>
  </si>
  <si>
    <t>SET DE GEOMETRIA</t>
  </si>
  <si>
    <t>GLOBO DE LATEX</t>
  </si>
  <si>
    <t>GLORIFICADOR</t>
  </si>
  <si>
    <t>GORRA MEDICA</t>
  </si>
  <si>
    <t>GORRA</t>
  </si>
  <si>
    <t>GUANTE</t>
  </si>
  <si>
    <t>HERMETICO</t>
  </si>
  <si>
    <t>MOLDE HIELO SILICONA</t>
  </si>
  <si>
    <t>HIELERA</t>
  </si>
  <si>
    <t>HOODIE</t>
  </si>
  <si>
    <t>HOLOGRAMA</t>
  </si>
  <si>
    <t>JACKET</t>
  </si>
  <si>
    <t>JARRA</t>
  </si>
  <si>
    <t>JIGGER</t>
  </si>
  <si>
    <t>JUEGO PARA GATO</t>
  </si>
  <si>
    <t>JUGUETE</t>
  </si>
  <si>
    <t>LANYARD</t>
  </si>
  <si>
    <t>LAPICERO</t>
  </si>
  <si>
    <t>LAZO DE REGALO</t>
  </si>
  <si>
    <t>LONCHERA</t>
  </si>
  <si>
    <t>LENTES</t>
  </si>
  <si>
    <t>LETRERO NEON</t>
  </si>
  <si>
    <t>LIBRETA</t>
  </si>
  <si>
    <t>SET LIMPIEZA</t>
  </si>
  <si>
    <t>LINTERNA</t>
  </si>
  <si>
    <t>LLAVERO</t>
  </si>
  <si>
    <t>LONA</t>
  </si>
  <si>
    <t>LIMPIA PATAS</t>
  </si>
  <si>
    <t>MANTA</t>
  </si>
  <si>
    <t>MEDIAS</t>
  </si>
  <si>
    <t>KIT MIXOLOGIA</t>
  </si>
  <si>
    <t>MASON JAR</t>
  </si>
  <si>
    <t>MINI LÁMPARA USB</t>
  </si>
  <si>
    <t>MOSCOW MULE</t>
  </si>
  <si>
    <t>MOBILIARIO</t>
  </si>
  <si>
    <t>MOCHILA</t>
  </si>
  <si>
    <t>MONITOR</t>
  </si>
  <si>
    <t>ANTI-SLIP MUG</t>
  </si>
  <si>
    <t>NOTEBOOK</t>
  </si>
  <si>
    <t>PAÑOLETA</t>
  </si>
  <si>
    <t>PARAGUAS</t>
  </si>
  <si>
    <t>PAPEL DE CAMILLA</t>
  </si>
  <si>
    <t>PELOTA</t>
  </si>
  <si>
    <t>PORTA GAFETE</t>
  </si>
  <si>
    <t>PHONE HOLDER</t>
  </si>
  <si>
    <t>PIN</t>
  </si>
  <si>
    <t>PIZARRA MAGNETICA</t>
  </si>
  <si>
    <t>PLATO</t>
  </si>
  <si>
    <t>PELUCHE</t>
  </si>
  <si>
    <t>MEDIA PLAYER</t>
  </si>
  <si>
    <t>PLACA METALICA</t>
  </si>
  <si>
    <t>PANTALLA</t>
  </si>
  <si>
    <t>POP SOCKET</t>
  </si>
  <si>
    <t>POSAVASOS</t>
  </si>
  <si>
    <t>POURER</t>
  </si>
  <si>
    <t>POWER BANK</t>
  </si>
  <si>
    <t>PELOTA ANTI ESTRES</t>
  </si>
  <si>
    <t>PORTA TARJETA CON SOPORTE CELULAR</t>
  </si>
  <si>
    <t>PULSERA CON LUZ LED</t>
  </si>
  <si>
    <t>RECIPIENTE</t>
  </si>
  <si>
    <t>T SHIRT</t>
  </si>
  <si>
    <t>ROTULO</t>
  </si>
  <si>
    <t>SANDWICHERA</t>
  </si>
  <si>
    <t>SOMBRERO</t>
  </si>
  <si>
    <t>SILLA PLAYERA CON COOLER</t>
  </si>
  <si>
    <t>SELLO</t>
  </si>
  <si>
    <t>SERVILLETERO</t>
  </si>
  <si>
    <t>SHAKER</t>
  </si>
  <si>
    <t>SILLA DE PLAYA</t>
  </si>
  <si>
    <t>SIPPY CUP</t>
  </si>
  <si>
    <t>SODA CAN</t>
  </si>
  <si>
    <t>SOMBRILLA</t>
  </si>
  <si>
    <t>SOPORTE DE CELULAR</t>
  </si>
  <si>
    <t>SPEAKER PORTÁTIL</t>
  </si>
  <si>
    <t>LEMON SQUIZZER</t>
  </si>
  <si>
    <t>STICKERS</t>
  </si>
  <si>
    <t>STIRRER</t>
  </si>
  <si>
    <t>SWEATER</t>
  </si>
  <si>
    <t>SUJETADOR CABLE</t>
  </si>
  <si>
    <t>TABLERO NEON</t>
  </si>
  <si>
    <t>TACHO</t>
  </si>
  <si>
    <t>TAZA</t>
  </si>
  <si>
    <t>TAZA CON CUCHARA</t>
  </si>
  <si>
    <t>TERMO</t>
  </si>
  <si>
    <t>TABLA PARA HOJA</t>
  </si>
  <si>
    <t>TOALLA</t>
  </si>
  <si>
    <t>TOTE BAG</t>
  </si>
  <si>
    <t>TUMBLER</t>
  </si>
  <si>
    <t>UNTADOR</t>
  </si>
  <si>
    <t>VASO ACRILICO</t>
  </si>
  <si>
    <t>SET DE VAJILLA</t>
  </si>
  <si>
    <t>MINI ECO VAP</t>
  </si>
  <si>
    <t>VASO</t>
  </si>
  <si>
    <t>VASO BIODEGRADABLE</t>
  </si>
  <si>
    <t>VASO CON CARRIZO</t>
  </si>
  <si>
    <t>VASO CERAMICA</t>
  </si>
  <si>
    <t>VASO ILUMINADO</t>
  </si>
  <si>
    <t>YOGA MAT</t>
  </si>
  <si>
    <t>YOYO</t>
  </si>
  <si>
    <t xml:space="preserve">PORTA QUESOS </t>
  </si>
  <si>
    <t>CUCHARON</t>
  </si>
  <si>
    <t xml:space="preserve">TABLA PARA QUESOS </t>
  </si>
  <si>
    <t xml:space="preserve">BOLA DE NAVIDAD </t>
  </si>
  <si>
    <t xml:space="preserve">ESTRELLA DE NAVIDAD </t>
  </si>
  <si>
    <t xml:space="preserve">ARBOL DE NAVIDAD </t>
  </si>
  <si>
    <t>xxx</t>
  </si>
  <si>
    <t># ITEM</t>
  </si>
  <si>
    <t>PM</t>
  </si>
  <si>
    <t>COMPANY NAME</t>
  </si>
  <si>
    <t>SALES CONTACT</t>
  </si>
  <si>
    <t>WECHAT</t>
  </si>
  <si>
    <t>EMAIL</t>
  </si>
  <si>
    <t>PRODUCT DESCRIPTION</t>
  </si>
  <si>
    <t>REFERENCE PICTURE</t>
  </si>
  <si>
    <t>PRODUCT REAL DESCRIPTION</t>
  </si>
  <si>
    <t>PRODUCT REAL PICTURES</t>
  </si>
  <si>
    <t>MATERIAL</t>
  </si>
  <si>
    <t>SIZES OR CAPACITY</t>
  </si>
  <si>
    <t>CERTIFICATE.      (CHECK LIST)</t>
  </si>
  <si>
    <t>OTHER CERTIFICATE</t>
  </si>
  <si>
    <t>LOGO DETAILS            (CHECK LIST)</t>
  </si>
  <si>
    <t>OTHER LOGO</t>
  </si>
  <si>
    <t>SET UP CHARGE</t>
  </si>
  <si>
    <t>SAMPLE TIME</t>
  </si>
  <si>
    <t>PRODUCTION TIME</t>
  </si>
  <si>
    <t xml:space="preserve">INCOTERM
 (PLEASE SELECT FROM CHECK LIST)</t>
  </si>
  <si>
    <t>QUANTITY</t>
  </si>
  <si>
    <t>PRICE</t>
  </si>
  <si>
    <t>PCS PER BOX</t>
  </si>
  <si>
    <t>L</t>
  </si>
  <si>
    <t>H</t>
  </si>
  <si>
    <t>W</t>
  </si>
  <si>
    <t>GW KG</t>
  </si>
  <si>
    <t>PRODUCTO</t>
  </si>
  <si>
    <t>ORIGEN</t>
  </si>
  <si>
    <t>COD PRODUCTO</t>
  </si>
  <si>
    <t>COD PAIS</t>
  </si>
  <si>
    <t>COD RESP</t>
  </si>
  <si>
    <t>CODIGO SIN TESTEO</t>
  </si>
  <si>
    <t>CHECK CODIGO REPETIDO MISMO ARTICULO</t>
  </si>
  <si>
    <t>IMAGEN 1</t>
  </si>
  <si>
    <t>IMAGEN 2</t>
  </si>
  <si>
    <t>IMAGEN 3</t>
  </si>
  <si>
    <t>IMAGEN 4</t>
  </si>
  <si>
    <t>IMAGEN 5</t>
  </si>
  <si>
    <t>IMAGEN 6</t>
  </si>
  <si>
    <t>IMAGEN 7</t>
  </si>
  <si>
    <t>IMAGEN 8</t>
  </si>
  <si>
    <t>IMAGEN 9</t>
  </si>
  <si>
    <t>IMAGEN 10</t>
  </si>
  <si>
    <t>ARGENTINA</t>
  </si>
  <si>
    <t>BAHAMAS</t>
  </si>
  <si>
    <t>BRASIL</t>
  </si>
  <si>
    <t>CHILE</t>
  </si>
  <si>
    <t>CHINA</t>
  </si>
  <si>
    <t>COLOMBIA</t>
  </si>
  <si>
    <t>COSTA RICA</t>
  </si>
  <si>
    <t>EL SALVADOR</t>
  </si>
  <si>
    <t>ESPAÑA</t>
  </si>
  <si>
    <t>ESTADOS UNIDOS</t>
  </si>
  <si>
    <t>GUATEMALA</t>
  </si>
  <si>
    <t>GUYANA</t>
  </si>
  <si>
    <t>HONDURAS</t>
  </si>
  <si>
    <t>JAMAICA</t>
  </si>
  <si>
    <t>MEXICO</t>
  </si>
  <si>
    <t>NICARAGUA</t>
  </si>
  <si>
    <t>PANAMA</t>
  </si>
  <si>
    <t>PUERTO RICO</t>
  </si>
  <si>
    <t>R. DOMINICANA</t>
  </si>
  <si>
    <t>TRINIDAD Y TOBAGO</t>
  </si>
  <si>
    <t>URUGUAY</t>
  </si>
  <si>
    <t>VENEZUELA</t>
  </si>
  <si>
    <t>SGS</t>
  </si>
  <si>
    <t>FDA</t>
  </si>
  <si>
    <t>SEDEX</t>
  </si>
  <si>
    <t>BSCI</t>
  </si>
  <si>
    <t>NO</t>
  </si>
  <si>
    <t>WENZHOU RUMEI ELECTRIC APPLIANCES CO.,LTD.</t>
  </si>
  <si>
    <t>Jimmy Jin</t>
  </si>
  <si>
    <t>+86 13868540197</t>
  </si>
  <si>
    <t>sales01@cnrumei.com</t>
  </si>
  <si>
    <t>Portable Usb Juicer Blender, Model No. W510, Material: ABS, Color: Blue/Green/Pink/Purple, Power Source: USB, MOQ: 10000 pcs</t>
  </si>
  <si>
    <t/>
  </si>
  <si>
    <t>ABS</t>
  </si>
  <si>
    <t>Bottle capacity: 380 ml</t>
  </si>
  <si>
    <t>CE certificate could be provided after order</t>
  </si>
  <si>
    <t>NF</t>
  </si>
  <si>
    <t>Logo: 1 c 1 position</t>
  </si>
  <si>
    <t>7-15</t>
  </si>
  <si>
    <t>15-25</t>
  </si>
  <si>
    <t>FOB Ningbo</t>
  </si>
  <si>
    <t>10000</t>
  </si>
  <si>
    <t>1.68</t>
  </si>
  <si>
    <t>30</t>
  </si>
  <si>
    <t>8</t>
  </si>
  <si>
    <t>23</t>
  </si>
  <si>
    <t>13</t>
  </si>
  <si>
    <t>ORDEN</t>
  </si>
  <si>
    <t>CODIGO PRODUCTO</t>
  </si>
  <si>
    <t>ABA</t>
  </si>
  <si>
    <t>ABR</t>
  </si>
  <si>
    <t>ACC</t>
  </si>
  <si>
    <t>ALA</t>
  </si>
  <si>
    <t>ALM</t>
  </si>
  <si>
    <t>ALT</t>
  </si>
  <si>
    <t>AMP</t>
  </si>
  <si>
    <t>ART</t>
  </si>
  <si>
    <t>AUD</t>
  </si>
  <si>
    <t>AUR</t>
  </si>
  <si>
    <t>AZU</t>
  </si>
  <si>
    <t>BAD</t>
  </si>
  <si>
    <t>BAL</t>
  </si>
  <si>
    <t>BAN</t>
  </si>
  <si>
    <t>BAS</t>
  </si>
  <si>
    <t>BAT</t>
  </si>
  <si>
    <t>BDN</t>
  </si>
  <si>
    <t>BDR</t>
  </si>
  <si>
    <t>BLG</t>
  </si>
  <si>
    <t>BLO</t>
  </si>
  <si>
    <t>BLS</t>
  </si>
  <si>
    <t>BLT</t>
  </si>
  <si>
    <t>BML</t>
  </si>
  <si>
    <t>BMT</t>
  </si>
  <si>
    <t>BPL</t>
  </si>
  <si>
    <t>BOL</t>
  </si>
  <si>
    <t>BOT</t>
  </si>
  <si>
    <t>BOW</t>
  </si>
  <si>
    <t>BRA</t>
  </si>
  <si>
    <t>BRO</t>
  </si>
  <si>
    <t>BSA</t>
  </si>
  <si>
    <t>BUS</t>
  </si>
  <si>
    <t>CAB</t>
  </si>
  <si>
    <t>CAD</t>
  </si>
  <si>
    <t>CAJ</t>
  </si>
  <si>
    <t>CAM</t>
  </si>
  <si>
    <t>CAP</t>
  </si>
  <si>
    <t>CAR</t>
  </si>
  <si>
    <t>CBT</t>
  </si>
  <si>
    <t>CCF</t>
  </si>
  <si>
    <t>CEN</t>
  </si>
  <si>
    <t>CHA</t>
  </si>
  <si>
    <t>CLA</t>
  </si>
  <si>
    <t>CMD</t>
  </si>
  <si>
    <t>CMP</t>
  </si>
  <si>
    <t>CMR</t>
  </si>
  <si>
    <t>CMT</t>
  </si>
  <si>
    <t>CNN</t>
  </si>
  <si>
    <t>COA</t>
  </si>
  <si>
    <t>COC</t>
  </si>
  <si>
    <t>COL</t>
  </si>
  <si>
    <t>CON</t>
  </si>
  <si>
    <t>COO</t>
  </si>
  <si>
    <t>COP</t>
  </si>
  <si>
    <t>COV</t>
  </si>
  <si>
    <t>CRP</t>
  </si>
  <si>
    <t>CRT</t>
  </si>
  <si>
    <t>CTC</t>
  </si>
  <si>
    <t>CTL</t>
  </si>
  <si>
    <t>CUB</t>
  </si>
  <si>
    <t>CUC</t>
  </si>
  <si>
    <t>DEL</t>
  </si>
  <si>
    <t>DES</t>
  </si>
  <si>
    <t>DMN</t>
  </si>
  <si>
    <t>DRA</t>
  </si>
  <si>
    <t>DSF</t>
  </si>
  <si>
    <t>DSP</t>
  </si>
  <si>
    <t>EST</t>
  </si>
  <si>
    <t>FLO</t>
  </si>
  <si>
    <t>FOA</t>
  </si>
  <si>
    <t>FRI</t>
  </si>
  <si>
    <t>FUE</t>
  </si>
  <si>
    <t>GEO</t>
  </si>
  <si>
    <t>GLB</t>
  </si>
  <si>
    <t>GLO</t>
  </si>
  <si>
    <t>GOR</t>
  </si>
  <si>
    <t>GRR</t>
  </si>
  <si>
    <t>GUA</t>
  </si>
  <si>
    <t>HER</t>
  </si>
  <si>
    <t>HIE</t>
  </si>
  <si>
    <t>HLR</t>
  </si>
  <si>
    <t>HOD</t>
  </si>
  <si>
    <t>HOL</t>
  </si>
  <si>
    <t>JAC</t>
  </si>
  <si>
    <t>JAR</t>
  </si>
  <si>
    <t>JIG</t>
  </si>
  <si>
    <t>JUE</t>
  </si>
  <si>
    <t>JUG</t>
  </si>
  <si>
    <t>LAN</t>
  </si>
  <si>
    <t>LAP</t>
  </si>
  <si>
    <t>LAZ</t>
  </si>
  <si>
    <t>LCH</t>
  </si>
  <si>
    <t>LEN</t>
  </si>
  <si>
    <t>LET</t>
  </si>
  <si>
    <t>LIB</t>
  </si>
  <si>
    <t>LIM</t>
  </si>
  <si>
    <t>LIN</t>
  </si>
  <si>
    <t>LLA</t>
  </si>
  <si>
    <t>LON</t>
  </si>
  <si>
    <t>LPT</t>
  </si>
  <si>
    <t>MAN</t>
  </si>
  <si>
    <t>MED</t>
  </si>
  <si>
    <t>MIX</t>
  </si>
  <si>
    <t>MJR</t>
  </si>
  <si>
    <t>MLA</t>
  </si>
  <si>
    <t>MMU</t>
  </si>
  <si>
    <t>MOB</t>
  </si>
  <si>
    <t>MOC</t>
  </si>
  <si>
    <t>MON</t>
  </si>
  <si>
    <t>MUG</t>
  </si>
  <si>
    <t>NOT</t>
  </si>
  <si>
    <t>PAN</t>
  </si>
  <si>
    <t>PAR</t>
  </si>
  <si>
    <t>PCM</t>
  </si>
  <si>
    <t>PEL</t>
  </si>
  <si>
    <t>PGF</t>
  </si>
  <si>
    <t>PHH</t>
  </si>
  <si>
    <t>PIZ</t>
  </si>
  <si>
    <t>PLA</t>
  </si>
  <si>
    <t>PLC</t>
  </si>
  <si>
    <t>PLY</t>
  </si>
  <si>
    <t>PMT</t>
  </si>
  <si>
    <t>PNT</t>
  </si>
  <si>
    <t>POP</t>
  </si>
  <si>
    <t>POS</t>
  </si>
  <si>
    <t>POU</t>
  </si>
  <si>
    <t>POW</t>
  </si>
  <si>
    <t>PST</t>
  </si>
  <si>
    <t>PTJ</t>
  </si>
  <si>
    <t>PUL</t>
  </si>
  <si>
    <t>REC</t>
  </si>
  <si>
    <t>TSH</t>
  </si>
  <si>
    <t>ROT</t>
  </si>
  <si>
    <t>SAN</t>
  </si>
  <si>
    <t>SBR</t>
  </si>
  <si>
    <t>SCO</t>
  </si>
  <si>
    <t>SEL</t>
  </si>
  <si>
    <t>SER</t>
  </si>
  <si>
    <t>SHA</t>
  </si>
  <si>
    <t>SIL</t>
  </si>
  <si>
    <t>SIP</t>
  </si>
  <si>
    <t>SOD</t>
  </si>
  <si>
    <t>SOM</t>
  </si>
  <si>
    <t>SOP</t>
  </si>
  <si>
    <t>SPE</t>
  </si>
  <si>
    <t>SQU</t>
  </si>
  <si>
    <t>STC</t>
  </si>
  <si>
    <t>STI</t>
  </si>
  <si>
    <t>SUE</t>
  </si>
  <si>
    <t>SUJ</t>
  </si>
  <si>
    <t>TAB</t>
  </si>
  <si>
    <t>TAC</t>
  </si>
  <si>
    <t>TAZ</t>
  </si>
  <si>
    <t>TCH</t>
  </si>
  <si>
    <t>TER</t>
  </si>
  <si>
    <t>THJ</t>
  </si>
  <si>
    <t>TOA</t>
  </si>
  <si>
    <t>TOT</t>
  </si>
  <si>
    <t>TUM</t>
  </si>
  <si>
    <t>UNT</t>
  </si>
  <si>
    <t>VAC</t>
  </si>
  <si>
    <t>VAJ</t>
  </si>
  <si>
    <t>VAP</t>
  </si>
  <si>
    <t>VAS</t>
  </si>
  <si>
    <t>VBD</t>
  </si>
  <si>
    <t>VCC</t>
  </si>
  <si>
    <t>VCM</t>
  </si>
  <si>
    <t>VIL</t>
  </si>
  <si>
    <t>YOG</t>
  </si>
  <si>
    <t>YOY</t>
  </si>
  <si>
    <t>PTQ</t>
  </si>
  <si>
    <t>CCR</t>
  </si>
  <si>
    <t>TPQ</t>
  </si>
  <si>
    <t>EDN</t>
  </si>
  <si>
    <t>ADN</t>
  </si>
  <si>
    <t>#</t>
  </si>
  <si>
    <t>Proveedor</t>
  </si>
  <si>
    <t>Detalles</t>
  </si>
  <si>
    <t>Fotos</t>
  </si>
  <si>
    <t>Producto</t>
  </si>
  <si>
    <t>Email</t>
  </si>
  <si>
    <t>Precio</t>
  </si>
  <si>
    <t>Comentario</t>
  </si>
  <si>
    <t>PAIS</t>
  </si>
  <si>
    <t>CODIGO</t>
  </si>
  <si>
    <t>AR</t>
  </si>
  <si>
    <t>BH</t>
  </si>
  <si>
    <t>BR</t>
  </si>
  <si>
    <t>CH</t>
  </si>
  <si>
    <t>CN</t>
  </si>
  <si>
    <t>CO</t>
  </si>
  <si>
    <t>CR</t>
  </si>
  <si>
    <t>SV</t>
  </si>
  <si>
    <t>ESP</t>
  </si>
  <si>
    <t>USA</t>
  </si>
  <si>
    <t>GT</t>
  </si>
  <si>
    <t>GUY</t>
  </si>
  <si>
    <t>HN</t>
  </si>
  <si>
    <t>JM</t>
  </si>
  <si>
    <t>MX</t>
  </si>
  <si>
    <t>NI</t>
  </si>
  <si>
    <t>PA</t>
  </si>
  <si>
    <t>PR</t>
  </si>
  <si>
    <t>RD</t>
  </si>
  <si>
    <t>TT</t>
  </si>
  <si>
    <t>UY</t>
  </si>
  <si>
    <t>VE</t>
  </si>
  <si>
    <t>RESP</t>
  </si>
  <si>
    <t>M</t>
  </si>
  <si>
    <t>C</t>
  </si>
  <si>
    <t>G</t>
  </si>
  <si>
    <t>V</t>
  </si>
  <si>
    <t>A</t>
  </si>
  <si>
    <t>D</t>
  </si>
  <si>
    <t>CERTIFICATES</t>
  </si>
  <si>
    <t>LOGO DETAILS</t>
  </si>
  <si>
    <t>INCOTERM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</si>
</sst>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5" x14ac:knownFonts="1">
    <font>
      <color theme="1"/>
      <family val="2"/>
      <scheme val="minor"/>
      <sz val="11"/>
      <name val="Calibri"/>
    </font>
    <font>
      <b/>
      <charset val="1"/>
      <color rgb="FF000000"/>
      <sz val="15"/>
      <name val="Calibri"/>
    </font>
    <font>
      <charset val="1"/>
      <color rgb="FF000000"/>
      <sz val="10"/>
      <name val="Calibri"/>
    </font>
    <font>
      <charset val="1"/>
      <color rgb="FF000000"/>
      <sz val="12"/>
      <name val="Calibri"/>
    </font>
    <font>
      <b/>
      <charset val="1"/>
      <color rgb="FF000000"/>
      <sz val="14"/>
      <name val="Calibri"/>
    </font>
    <font>
      <charset val="1"/>
      <color rgb="FF000000"/>
      <sz val="15"/>
      <name val="Calibri"/>
    </font>
    <font>
      <charset val="1"/>
      <color rgb="FF000000"/>
      <sz val="11"/>
      <name val="Calibri"/>
    </font>
    <font>
      <b/>
      <charset val="1"/>
      <color rgb="FF000000"/>
      <sz val="12"/>
      <name val="Calibri"/>
    </font>
    <font>
      <b/>
      <charset val="1"/>
      <color rgb="FF000000"/>
      <sz val="10"/>
      <name val="Calibri"/>
    </font>
    <font>
      <b/>
      <charset val="1"/>
      <color rgb="FF000000"/>
      <sz val="11"/>
      <name val="Calibri"/>
    </font>
    <font>
      <charset val="1"/>
      <color rgb="FF000000"/>
      <sz val="9"/>
      <name val="Calibri"/>
    </font>
    <font>
      <charset val="1"/>
      <color rgb="FF000000"/>
      <sz val="9"/>
      <name val="&quot;Google Sans Mono&quot;"/>
    </font>
    <font>
      <charset val="1"/>
      <color rgb="FF000000"/>
      <sz val="14"/>
      <name val="Calibri"/>
    </font>
    <font>
      <charset val="1"/>
      <color rgb="FF000000"/>
      <sz val="12"/>
      <name val="Arial"/>
    </font>
    <font>
      <b/>
      <charset val="1"/>
      <color rgb="FF000000"/>
      <sz val="12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EFEF"/>
        <bgColor rgb="FFFFFFFF"/>
      </patternFill>
    </fill>
    <fill>
      <patternFill patternType="solid">
        <fgColor rgb="FF00FF00"/>
        <bgColor rgb="FF00B050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7F7F7F"/>
        <bgColor rgb="FF666699"/>
      </patternFill>
    </fill>
    <fill>
      <patternFill patternType="solid">
        <fgColor rgb="FFD9D9D9"/>
        <bgColor rgb="FFEFEFEF"/>
      </patternFill>
    </fill>
    <fill>
      <patternFill patternType="solid">
        <fgColor rgb="FF999999"/>
        <bgColor rgb="FFA5A5A5"/>
      </patternFill>
    </fill>
    <fill>
      <patternFill patternType="solid">
        <fgColor rgb="FFA5A5A5"/>
        <bgColor rgb="FF999999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EFEFEF"/>
      </patternFill>
    </fill>
    <fill>
      <patternFill patternType="solid">
        <fgColor rgb="FFFF9900"/>
        <bgColor rgb="FFFFC000"/>
      </patternFill>
    </fill>
    <fill>
      <patternFill patternType="solid">
        <fgColor rgb="FF6AA84F"/>
        <bgColor rgb="FF7F7F7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3">
    <xf numFmtId="0" fontId="0" fillId="0" borderId="0" xfId="0"/>
    <xf numFmtId="1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bottom" wrapText="1"/>
    </xf>
    <xf numFmtId="0" fontId="2" fillId="0" borderId="0" xfId="0" applyFont="1" applyAlignment="1">
      <alignment horizontal="left" vertical="bottom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bottom" wrapText="1"/>
    </xf>
    <xf numFmtId="3" fontId="2" fillId="0" borderId="0" xfId="0" applyNumberFormat="1" applyFont="1" applyAlignment="1">
      <alignment horizontal="center" vertical="bottom" wrapText="1"/>
    </xf>
    <xf numFmtId="0" fontId="2" fillId="0" borderId="0" xfId="0" applyFont="1" applyAlignment="1">
      <alignment horizontal="center" vertical="bottom" wrapText="1"/>
    </xf>
    <xf numFmtId="164" fontId="2" fillId="0" borderId="0" xfId="0" applyNumberFormat="1" applyFont="1" applyAlignment="1">
      <alignment horizontal="center" vertical="bottom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bottom"/>
    </xf>
    <xf numFmtId="3" fontId="7" fillId="5" borderId="0" xfId="0" applyNumberFormat="1" applyFont="1" applyFill="1" applyAlignment="1">
      <alignment horizontal="center" vertical="bottom" wrapText="1"/>
    </xf>
    <xf numFmtId="0" fontId="2" fillId="4" borderId="1" xfId="0" applyFont="1" applyFill="1" applyBorder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bottom" wrapText="1"/>
    </xf>
    <xf numFmtId="1" fontId="9" fillId="7" borderId="2" xfId="0" applyNumberFormat="1" applyFont="1" applyFill="1" applyBorder="1" applyAlignment="1">
      <alignment horizontal="center" vertical="center" wrapText="1"/>
    </xf>
    <xf numFmtId="3" fontId="9" fillId="6" borderId="3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1" fillId="8" borderId="5" xfId="0" applyNumberFormat="1" applyFont="1" applyFill="1" applyBorder="1" applyAlignment="1">
      <alignment horizontal="center" vertical="center" wrapText="1"/>
    </xf>
    <xf numFmtId="165" fontId="6" fillId="8" borderId="5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5" fontId="3" fillId="12" borderId="1" xfId="0" applyNumberFormat="1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4" fontId="3" fillId="12" borderId="6" xfId="0" applyNumberFormat="1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4" fontId="3" fillId="12" borderId="1" xfId="0" applyNumberFormat="1" applyFont="1" applyFill="1" applyBorder="1" applyAlignment="1">
      <alignment horizontal="center" vertical="center" wrapText="1"/>
    </xf>
    <xf numFmtId="165" fontId="6" fillId="7" borderId="5" xfId="0" applyNumberFormat="1" applyFont="1" applyFill="1" applyBorder="1" applyAlignment="1">
      <alignment horizontal="center" vertical="center" wrapText="1"/>
    </xf>
    <xf numFmtId="1" fontId="6" fillId="7" borderId="7" xfId="0" applyNumberFormat="1" applyFont="1" applyFill="1" applyBorder="1" applyAlignment="1">
      <alignment horizontal="center" vertical="center" wrapText="1"/>
    </xf>
    <xf numFmtId="165" fontId="6" fillId="7" borderId="7" xfId="0" applyNumberFormat="1" applyFont="1" applyFill="1" applyBorder="1" applyAlignment="1">
      <alignment horizontal="center" vertical="center" wrapText="1"/>
    </xf>
    <xf numFmtId="165" fontId="6" fillId="7" borderId="8" xfId="0" applyNumberFormat="1" applyFont="1" applyFill="1" applyBorder="1" applyAlignment="1">
      <alignment horizontal="center" vertical="center" wrapText="1"/>
    </xf>
    <xf numFmtId="165" fontId="3" fillId="8" borderId="8" xfId="0" applyNumberFormat="1" applyFont="1" applyFill="1" applyBorder="1" applyAlignment="1">
      <alignment horizontal="center" vertical="center" wrapText="1"/>
    </xf>
    <xf numFmtId="165" fontId="3" fillId="9" borderId="8" xfId="0" applyNumberFormat="1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1" fontId="11" fillId="9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 wrapText="1"/>
    </xf>
    <xf numFmtId="165" fontId="3" fillId="9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9" xfId="0" applyFont="1" applyFill="1" applyBorder="1" applyAlignment="1">
      <alignment horizontal="center" vertical="center" wrapText="1"/>
    </xf>
    <xf numFmtId="4" fontId="12" fillId="12" borderId="6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vertical="bottom" wrapText="1"/>
    </xf>
    <xf numFmtId="164" fontId="3" fillId="0" borderId="0" xfId="0" applyNumberFormat="1" applyFont="1" applyAlignment="1">
      <alignment horizontal="center" vertical="center" wrapText="1"/>
    </xf>
    <xf numFmtId="0" fontId="3" fillId="12" borderId="0" xfId="0" applyFont="1" applyFill="1" applyAlignment="1">
      <alignment vertical="bottom" wrapText="1"/>
    </xf>
    <xf numFmtId="164" fontId="3" fillId="0" borderId="0" xfId="0" applyNumberFormat="1" applyFont="1" applyAlignment="1">
      <alignment vertical="bottom" wrapText="1"/>
    </xf>
    <xf numFmtId="3" fontId="3" fillId="0" borderId="0" xfId="0" applyNumberFormat="1" applyFont="1" applyAlignment="1">
      <alignment horizontal="center" vertical="bottom" wrapText="1"/>
    </xf>
    <xf numFmtId="164" fontId="3" fillId="0" borderId="0" xfId="0" applyNumberFormat="1" applyFont="1" applyAlignment="1">
      <alignment horizontal="center" vertical="bottom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bottom" wrapText="1"/>
    </xf>
    <xf numFmtId="1" fontId="1" fillId="0" borderId="0" xfId="0" applyNumberFormat="1" applyFont="1" applyAlignment="1">
      <alignment vertical="bottom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bottom"/>
    </xf>
    <xf numFmtId="0" fontId="6" fillId="0" borderId="1" xfId="0" applyFont="1" applyBorder="1" applyAlignment="1">
      <alignment vertical="bottom"/>
    </xf>
    <xf numFmtId="0" fontId="3" fillId="0" borderId="0" xfId="0" applyFont="1" applyAlignment="1">
      <alignment vertical="bottom"/>
    </xf>
    <xf numFmtId="0" fontId="3" fillId="8" borderId="1" xfId="0" applyFont="1" applyFill="1" applyBorder="1" applyAlignment="1">
      <alignment horizontal="center" vertical="bottom"/>
    </xf>
    <xf numFmtId="0" fontId="3" fillId="8" borderId="1" xfId="0" applyFont="1" applyFill="1" applyBorder="1" applyAlignment="1">
      <alignment horizontal="left" vertical="bottom"/>
    </xf>
    <xf numFmtId="0" fontId="3" fillId="8" borderId="10" xfId="0" applyFont="1" applyFill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1" xfId="0" applyFont="1" applyBorder="1" applyAlignment="1">
      <alignment horizontal="left" vertical="bottom"/>
    </xf>
    <xf numFmtId="0" fontId="3" fillId="0" borderId="5" xfId="0" applyFont="1" applyBorder="1" applyAlignment="1">
      <alignment horizontal="center" vertical="bottom"/>
    </xf>
    <xf numFmtId="0" fontId="3" fillId="13" borderId="1" xfId="0" applyFont="1" applyFill="1" applyBorder="1" applyAlignment="1">
      <alignment horizontal="left" vertical="bottom"/>
    </xf>
    <xf numFmtId="0" fontId="3" fillId="12" borderId="1" xfId="0" applyFont="1" applyFill="1" applyBorder="1" applyAlignment="1">
      <alignment horizontal="left" vertical="bottom"/>
    </xf>
    <xf numFmtId="0" fontId="3" fillId="0" borderId="1" xfId="0" applyFont="1" applyBorder="1" applyAlignment="1">
      <alignment horizontal="center" vertical="bottom"/>
    </xf>
    <xf numFmtId="0" fontId="3" fillId="0" borderId="10" xfId="0" applyFont="1" applyBorder="1" applyAlignment="1">
      <alignment vertical="bottom"/>
    </xf>
    <xf numFmtId="0" fontId="3" fillId="0" borderId="10" xfId="0" applyFont="1" applyBorder="1" applyAlignment="1">
      <alignment horizontal="center" vertical="bottom"/>
    </xf>
    <xf numFmtId="0" fontId="3" fillId="0" borderId="5" xfId="0" applyFont="1" applyBorder="1" applyAlignment="1">
      <alignment vertical="bottom"/>
    </xf>
    <xf numFmtId="0" fontId="3" fillId="0" borderId="0" xfId="0" applyFont="1" applyAlignment="1">
      <alignment horizontal="left" vertical="bottom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bottom"/>
    </xf>
    <xf numFmtId="0" fontId="6" fillId="0" borderId="0" xfId="0" applyFont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209520</xdr:colOff>
      <xdr:row>0</xdr:row>
      <xdr:rowOff>0</xdr:rowOff>
    </xdr:from>
    <xdr:to>
      <xdr:col>1</xdr:col>
      <xdr:colOff>538920</xdr:colOff>
      <xdr:row>1</xdr:row>
      <xdr:rowOff>19440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40</xdr:col>
      <xdr:colOff>1133640</xdr:colOff>
      <xdr:row>0</xdr:row>
      <xdr:rowOff>171360</xdr:rowOff>
    </xdr:from>
    <xdr:to>
      <xdr:col>40</xdr:col>
      <xdr:colOff>1637640</xdr:colOff>
      <xdr:row>1</xdr:row>
      <xdr:rowOff>190800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9</xdr:col>
      <xdr:colOff>0</xdr:colOff>
      <xdr:row>5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45</xdr:col>
      <xdr:colOff>0</xdr:colOff>
      <xdr:row>5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46</xdr:col>
      <xdr:colOff>0</xdr:colOff>
      <xdr:row>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T1000"/>
  <sheetViews>
    <sheetView workbookViewId="0" zoomScale="80" zoomScaleNormal="80" view="normal">
      <pane ySplit="5" topLeftCell="A6" activePane="bottomLeft" state="frozen"/>
      <selection pane="bottomLeft" activeCell="NU6" sqref="NU6"/>
    </sheetView>
  </sheetViews>
  <sheetFormatPr defaultRowHeight="15" outlineLevelRow="0" outlineLevelCol="0" x14ac:dyDescent="0"/>
  <cols>
    <col min="1" max="1" width="7.67" customWidth="1"/>
    <col min="2" max="2" width="9.33" customWidth="1"/>
    <col min="3" max="6" width="14.44" customWidth="1"/>
    <col min="7" max="9" width="26.44" customWidth="1"/>
    <col min="10" max="10" width="30" customWidth="1"/>
    <col min="11" max="22" width="10.44" customWidth="1"/>
    <col min="23" max="23" width="4.78" customWidth="1"/>
    <col min="24" max="26" width="5.33" customWidth="1"/>
    <col min="27" max="27" width="4" customWidth="1"/>
    <col min="28" max="28" width="2.56" customWidth="1"/>
    <col min="29" max="33" width="11.67" hidden="1" customWidth="1"/>
    <col min="34" max="35" width="16.11" customWidth="1"/>
    <col min="36" max="39" width="16.11" hidden="1" customWidth="1"/>
    <col min="40" max="40" width="24.22" hidden="1" customWidth="1"/>
    <col min="41" max="41" width="31.11" customWidth="1"/>
    <col min="42" max="43" width="31.11" hidden="1" customWidth="1"/>
    <col min="44" max="45" width="16.11" hidden="1" customWidth="1"/>
    <col min="46" max="47" width="30" customWidth="1"/>
    <col min="48" max="57" width="16.11" customWidth="1"/>
    <col min="58" max="384" width="11.2" hidden="1" customWidth="1"/>
    <col min="385" max="1025" width="11.2" customWidth="1"/>
  </cols>
  <sheetData>
    <row r="1" ht="37.5" customHeight="1" spans="1:63" x14ac:dyDescent="0.25">
      <c r="A1" s="1"/>
      <c r="B1" s="2"/>
      <c r="C1" s="3"/>
      <c r="D1" s="3"/>
      <c r="E1" s="4"/>
      <c r="F1" s="4"/>
      <c r="G1" s="5" t="s">
        <v>0</v>
      </c>
      <c r="H1" s="6" t="s">
        <v>1</v>
      </c>
      <c r="I1" s="4"/>
      <c r="J1" s="4"/>
      <c r="K1" s="4"/>
      <c r="L1" s="4"/>
      <c r="M1" s="4"/>
      <c r="N1" s="4"/>
      <c r="O1" s="4"/>
      <c r="P1" s="4"/>
      <c r="Q1" s="7"/>
      <c r="R1" s="4"/>
      <c r="S1" s="4"/>
      <c r="T1" s="4"/>
      <c r="U1" s="4"/>
      <c r="V1" s="8"/>
      <c r="W1" s="9"/>
      <c r="X1" s="10"/>
      <c r="Y1" s="10"/>
      <c r="Z1" s="10"/>
      <c r="AA1" s="11"/>
      <c r="AB1" s="2"/>
      <c r="AC1" s="12"/>
      <c r="AD1" s="12"/>
      <c r="AE1" s="12"/>
      <c r="AF1" s="12"/>
      <c r="AG1" s="12"/>
      <c r="AH1" s="2"/>
      <c r="AI1" s="2"/>
      <c r="AJ1" s="2"/>
      <c r="AK1" s="2"/>
      <c r="AL1" s="2"/>
      <c r="AM1" s="2"/>
      <c r="AN1" s="13"/>
      <c r="AO1" s="14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15" t="s">
        <v>2</v>
      </c>
      <c r="BG1" s="15" t="s">
        <v>3</v>
      </c>
      <c r="BH1" s="15" t="s">
        <v>4</v>
      </c>
      <c r="BI1" s="15" t="s">
        <v>5</v>
      </c>
      <c r="BJ1" s="15" t="s">
        <v>6</v>
      </c>
      <c r="BK1" s="15" t="s">
        <v>7</v>
      </c>
    </row>
    <row r="2" ht="15" customHeight="1" spans="1:70" x14ac:dyDescent="0.25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  <c r="R2" s="4"/>
      <c r="S2" s="4"/>
      <c r="T2" s="4"/>
      <c r="U2" s="4"/>
      <c r="V2" s="8"/>
      <c r="W2" s="16" t="s">
        <v>8</v>
      </c>
      <c r="X2" s="16"/>
      <c r="Y2" s="16"/>
      <c r="Z2" s="16"/>
      <c r="AA2" s="16"/>
      <c r="AB2" s="2"/>
      <c r="AC2" s="17"/>
      <c r="AD2" s="17"/>
      <c r="AE2" s="17"/>
      <c r="AF2" s="17"/>
      <c r="AG2" s="17"/>
      <c r="AH2" s="2"/>
      <c r="AI2" s="2"/>
      <c r="AJ2" s="2"/>
      <c r="AK2" s="2"/>
      <c r="AL2" s="2"/>
      <c r="AM2" s="2"/>
      <c r="AN2" s="13"/>
      <c r="AO2" s="1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t="s">
        <v>9</v>
      </c>
      <c r="BG2" t="s">
        <v>10</v>
      </c>
      <c r="BH2" t="s">
        <v>11</v>
      </c>
      <c r="BI2" t="s">
        <v>12</v>
      </c>
      <c r="BJ2" t="s">
        <v>13</v>
      </c>
      <c r="BK2" t="s">
        <v>14</v>
      </c>
      <c r="BL2" t="s">
        <v>15</v>
      </c>
      <c r="BM2" t="s">
        <v>16</v>
      </c>
      <c r="BN2" t="s">
        <v>17</v>
      </c>
      <c r="BO2" t="s">
        <v>18</v>
      </c>
      <c r="BP2" t="s">
        <v>19</v>
      </c>
      <c r="BQ2" t="s">
        <v>20</v>
      </c>
      <c r="BR2" t="s">
        <v>21</v>
      </c>
    </row>
    <row r="3" ht="15" customHeight="1" spans="1:70" x14ac:dyDescent="0.25">
      <c r="A3" s="1"/>
      <c r="B3" s="2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8"/>
      <c r="W3" s="18" t="s">
        <v>22</v>
      </c>
      <c r="X3" s="18"/>
      <c r="Y3" s="18"/>
      <c r="Z3" s="18"/>
      <c r="AA3" s="18"/>
      <c r="AB3" s="2"/>
      <c r="AC3" s="17"/>
      <c r="AD3" s="17"/>
      <c r="AE3" s="17"/>
      <c r="AF3" s="17"/>
      <c r="AG3" s="17"/>
      <c r="AH3" s="2"/>
      <c r="AI3" s="2"/>
      <c r="AJ3" s="2"/>
      <c r="AK3" s="2"/>
      <c r="AL3" s="2"/>
      <c r="AM3" s="2"/>
      <c r="AN3" s="13"/>
      <c r="AO3" s="14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t="s">
        <v>23</v>
      </c>
      <c r="BG3" t="s">
        <v>24</v>
      </c>
      <c r="BH3" t="s">
        <v>25</v>
      </c>
      <c r="BI3" t="s">
        <v>26</v>
      </c>
      <c r="BJ3" t="s">
        <v>27</v>
      </c>
      <c r="BK3" t="s">
        <v>28</v>
      </c>
      <c r="BL3" t="s">
        <v>29</v>
      </c>
      <c r="BM3" t="s">
        <v>30</v>
      </c>
      <c r="BN3" t="s">
        <v>31</v>
      </c>
      <c r="BO3" t="s">
        <v>32</v>
      </c>
      <c r="BP3" t="s">
        <v>33</v>
      </c>
      <c r="BQ3" t="s">
        <v>34</v>
      </c>
      <c r="BR3" t="s">
        <v>35</v>
      </c>
    </row>
    <row r="4" ht="15" customHeight="1" spans="1:384" x14ac:dyDescent="0.25">
      <c r="A4" s="19"/>
      <c r="B4" s="19"/>
      <c r="C4" s="20" t="s">
        <v>8</v>
      </c>
      <c r="D4" s="20" t="s">
        <v>8</v>
      </c>
      <c r="E4" s="20" t="s">
        <v>8</v>
      </c>
      <c r="F4" s="20" t="s">
        <v>8</v>
      </c>
      <c r="G4" s="21" t="s">
        <v>36</v>
      </c>
      <c r="H4" s="21" t="s">
        <v>36</v>
      </c>
      <c r="I4" s="20" t="s">
        <v>8</v>
      </c>
      <c r="J4" s="20" t="s">
        <v>8</v>
      </c>
      <c r="K4" s="20" t="s">
        <v>8</v>
      </c>
      <c r="L4" s="20" t="s">
        <v>8</v>
      </c>
      <c r="M4" s="20" t="s">
        <v>8</v>
      </c>
      <c r="N4" s="20" t="s">
        <v>8</v>
      </c>
      <c r="O4" s="20" t="s">
        <v>8</v>
      </c>
      <c r="P4" s="20" t="s">
        <v>8</v>
      </c>
      <c r="Q4" s="20" t="s">
        <v>8</v>
      </c>
      <c r="R4" s="20" t="s">
        <v>8</v>
      </c>
      <c r="S4" s="20" t="s">
        <v>8</v>
      </c>
      <c r="T4" s="20" t="s">
        <v>8</v>
      </c>
      <c r="U4" s="21" t="s">
        <v>36</v>
      </c>
      <c r="V4" s="20" t="s">
        <v>8</v>
      </c>
      <c r="W4" s="22"/>
      <c r="X4" s="23" t="s">
        <v>37</v>
      </c>
      <c r="Y4" s="23"/>
      <c r="Z4" s="23"/>
      <c r="AA4" s="24"/>
      <c r="AB4" s="25"/>
      <c r="AC4" s="26" t="s">
        <v>38</v>
      </c>
      <c r="AD4" s="26" t="s">
        <v>39</v>
      </c>
      <c r="AE4" s="26" t="s">
        <v>40</v>
      </c>
      <c r="AF4" s="26" t="s">
        <v>41</v>
      </c>
      <c r="AG4" s="26" t="s">
        <v>42</v>
      </c>
      <c r="AH4" s="27"/>
      <c r="AI4" s="27"/>
      <c r="AJ4" s="28"/>
      <c r="AK4" s="28"/>
      <c r="AL4" s="28"/>
      <c r="AM4" s="29" t="s">
        <v>43</v>
      </c>
      <c r="AN4" s="29" t="s">
        <v>44</v>
      </c>
      <c r="AO4" s="30" t="s">
        <v>45</v>
      </c>
      <c r="AP4" s="31"/>
      <c r="AQ4" s="31"/>
      <c r="AR4" s="31"/>
      <c r="AS4" s="31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t="s">
        <v>46</v>
      </c>
      <c r="BG4" t="s">
        <v>47</v>
      </c>
      <c r="BH4" t="s">
        <v>48</v>
      </c>
      <c r="BI4" t="s">
        <v>49</v>
      </c>
      <c r="BJ4" t="s">
        <v>50</v>
      </c>
      <c r="BK4" t="s">
        <v>51</v>
      </c>
      <c r="BL4" t="s">
        <v>52</v>
      </c>
      <c r="BM4" t="s">
        <v>53</v>
      </c>
      <c r="BN4" t="s">
        <v>54</v>
      </c>
      <c r="BO4" t="s">
        <v>55</v>
      </c>
      <c r="BP4" t="s">
        <v>56</v>
      </c>
      <c r="BQ4" t="s">
        <v>57</v>
      </c>
      <c r="BR4" t="s">
        <v>58</v>
      </c>
      <c r="BS4" t="s">
        <v>59</v>
      </c>
      <c r="BT4" t="s">
        <v>60</v>
      </c>
      <c r="BU4" t="s">
        <v>61</v>
      </c>
      <c r="BV4" t="s">
        <v>62</v>
      </c>
      <c r="BW4" t="s">
        <v>63</v>
      </c>
      <c r="BX4" t="s">
        <v>64</v>
      </c>
      <c r="BY4" t="s">
        <v>65</v>
      </c>
      <c r="BZ4" t="s">
        <v>66</v>
      </c>
      <c r="CA4" t="s">
        <v>67</v>
      </c>
      <c r="CB4" t="s">
        <v>68</v>
      </c>
      <c r="CC4" t="s">
        <v>69</v>
      </c>
      <c r="CD4" t="s">
        <v>70</v>
      </c>
      <c r="CE4" t="s">
        <v>71</v>
      </c>
      <c r="CF4" t="s">
        <v>72</v>
      </c>
      <c r="CG4" t="s">
        <v>73</v>
      </c>
      <c r="CH4" t="s">
        <v>74</v>
      </c>
      <c r="CI4" t="s">
        <v>75</v>
      </c>
      <c r="CJ4" t="s">
        <v>76</v>
      </c>
      <c r="CK4" t="s">
        <v>77</v>
      </c>
      <c r="CL4" t="s">
        <v>78</v>
      </c>
      <c r="CM4" t="s">
        <v>79</v>
      </c>
      <c r="CN4" t="s">
        <v>80</v>
      </c>
      <c r="CO4" t="s">
        <v>81</v>
      </c>
      <c r="CP4" t="s">
        <v>82</v>
      </c>
      <c r="CQ4" t="s">
        <v>83</v>
      </c>
      <c r="CR4" t="s">
        <v>84</v>
      </c>
      <c r="CS4" t="s">
        <v>85</v>
      </c>
      <c r="CT4" t="s">
        <v>86</v>
      </c>
      <c r="CU4" t="s">
        <v>87</v>
      </c>
      <c r="CV4" t="s">
        <v>88</v>
      </c>
      <c r="CW4" t="s">
        <v>89</v>
      </c>
      <c r="CX4" t="s">
        <v>90</v>
      </c>
      <c r="CY4" t="s">
        <v>91</v>
      </c>
      <c r="CZ4" t="s">
        <v>92</v>
      </c>
      <c r="DA4" t="s">
        <v>93</v>
      </c>
      <c r="DB4" t="s">
        <v>94</v>
      </c>
      <c r="DC4" t="s">
        <v>95</v>
      </c>
      <c r="DD4" t="s">
        <v>96</v>
      </c>
      <c r="DE4" t="s">
        <v>97</v>
      </c>
      <c r="DF4" t="s">
        <v>98</v>
      </c>
      <c r="DG4" t="s">
        <v>99</v>
      </c>
      <c r="DH4" t="s">
        <v>100</v>
      </c>
      <c r="DI4" t="s">
        <v>101</v>
      </c>
      <c r="DJ4" t="s">
        <v>102</v>
      </c>
      <c r="DK4" t="s">
        <v>103</v>
      </c>
      <c r="DL4" t="s">
        <v>104</v>
      </c>
      <c r="DM4" t="s">
        <v>105</v>
      </c>
      <c r="DN4" t="s">
        <v>106</v>
      </c>
      <c r="DO4" t="s">
        <v>107</v>
      </c>
      <c r="DP4" t="s">
        <v>108</v>
      </c>
      <c r="DQ4" t="s">
        <v>109</v>
      </c>
      <c r="DR4" t="s">
        <v>110</v>
      </c>
      <c r="DS4" t="s">
        <v>111</v>
      </c>
      <c r="DT4" t="s">
        <v>112</v>
      </c>
      <c r="DU4" t="s">
        <v>113</v>
      </c>
      <c r="DV4" t="s">
        <v>114</v>
      </c>
      <c r="DW4" t="s">
        <v>115</v>
      </c>
      <c r="DX4" t="s">
        <v>116</v>
      </c>
      <c r="DY4" t="s">
        <v>117</v>
      </c>
      <c r="DZ4" t="s">
        <v>118</v>
      </c>
      <c r="EA4" t="s">
        <v>119</v>
      </c>
      <c r="EB4" t="s">
        <v>120</v>
      </c>
      <c r="EC4" t="s">
        <v>121</v>
      </c>
      <c r="ED4" t="s">
        <v>122</v>
      </c>
      <c r="EE4" t="s">
        <v>123</v>
      </c>
      <c r="EF4" t="s">
        <v>124</v>
      </c>
      <c r="EG4" t="s">
        <v>125</v>
      </c>
      <c r="EH4" t="s">
        <v>126</v>
      </c>
      <c r="EI4" t="s">
        <v>127</v>
      </c>
      <c r="EJ4" t="s">
        <v>128</v>
      </c>
      <c r="EK4" t="s">
        <v>129</v>
      </c>
      <c r="EL4" t="s">
        <v>130</v>
      </c>
      <c r="EM4" t="s">
        <v>131</v>
      </c>
      <c r="EN4" t="s">
        <v>132</v>
      </c>
      <c r="EO4" t="s">
        <v>133</v>
      </c>
      <c r="EP4" t="s">
        <v>134</v>
      </c>
      <c r="EQ4" t="s">
        <v>135</v>
      </c>
      <c r="ER4" t="s">
        <v>136</v>
      </c>
      <c r="ES4" t="s">
        <v>137</v>
      </c>
      <c r="ET4" t="s">
        <v>138</v>
      </c>
      <c r="EU4" t="s">
        <v>139</v>
      </c>
      <c r="EV4" t="s">
        <v>140</v>
      </c>
      <c r="EW4" t="s">
        <v>141</v>
      </c>
      <c r="EX4" t="s">
        <v>142</v>
      </c>
      <c r="EY4" t="s">
        <v>143</v>
      </c>
      <c r="EZ4" t="s">
        <v>144</v>
      </c>
      <c r="FA4" t="s">
        <v>145</v>
      </c>
      <c r="FB4" t="s">
        <v>146</v>
      </c>
      <c r="FC4" t="s">
        <v>147</v>
      </c>
      <c r="FD4" t="s">
        <v>148</v>
      </c>
      <c r="FE4" t="s">
        <v>149</v>
      </c>
      <c r="FF4" t="s">
        <v>150</v>
      </c>
      <c r="FG4" t="s">
        <v>151</v>
      </c>
      <c r="FH4" t="s">
        <v>152</v>
      </c>
      <c r="FI4" t="s">
        <v>153</v>
      </c>
      <c r="FJ4" t="s">
        <v>154</v>
      </c>
      <c r="FK4" t="s">
        <v>155</v>
      </c>
      <c r="FL4" t="s">
        <v>156</v>
      </c>
      <c r="FM4" t="s">
        <v>157</v>
      </c>
      <c r="FN4" t="s">
        <v>158</v>
      </c>
      <c r="FO4" t="s">
        <v>159</v>
      </c>
      <c r="FP4" t="s">
        <v>160</v>
      </c>
      <c r="FQ4" t="s">
        <v>161</v>
      </c>
      <c r="FR4" t="s">
        <v>162</v>
      </c>
      <c r="FS4" t="s">
        <v>163</v>
      </c>
      <c r="FT4" t="s">
        <v>164</v>
      </c>
      <c r="FU4" t="s">
        <v>165</v>
      </c>
      <c r="FV4" t="s">
        <v>166</v>
      </c>
      <c r="FW4" t="s">
        <v>167</v>
      </c>
      <c r="FX4" t="s">
        <v>168</v>
      </c>
      <c r="FY4" t="s">
        <v>169</v>
      </c>
      <c r="FZ4" t="s">
        <v>170</v>
      </c>
      <c r="GA4" t="s">
        <v>171</v>
      </c>
      <c r="GB4" t="s">
        <v>172</v>
      </c>
      <c r="GC4" t="s">
        <v>173</v>
      </c>
      <c r="GD4" t="s">
        <v>174</v>
      </c>
      <c r="GE4" t="s">
        <v>175</v>
      </c>
      <c r="GF4" t="s">
        <v>176</v>
      </c>
      <c r="GG4" t="s">
        <v>177</v>
      </c>
      <c r="GH4" t="s">
        <v>178</v>
      </c>
      <c r="GI4" t="s">
        <v>179</v>
      </c>
      <c r="GJ4" t="s">
        <v>180</v>
      </c>
      <c r="GK4" t="s">
        <v>181</v>
      </c>
      <c r="GL4" t="s">
        <v>182</v>
      </c>
      <c r="GM4" t="s">
        <v>183</v>
      </c>
      <c r="GN4" t="s">
        <v>184</v>
      </c>
      <c r="GO4" t="s">
        <v>185</v>
      </c>
      <c r="GP4" t="s">
        <v>186</v>
      </c>
      <c r="GQ4" t="s">
        <v>187</v>
      </c>
      <c r="GR4" t="s">
        <v>188</v>
      </c>
      <c r="GS4" t="s">
        <v>189</v>
      </c>
      <c r="GT4" t="s">
        <v>190</v>
      </c>
      <c r="GU4" t="s">
        <v>191</v>
      </c>
      <c r="GV4" t="s">
        <v>192</v>
      </c>
      <c r="GW4" t="s">
        <v>193</v>
      </c>
      <c r="GX4" t="s">
        <v>194</v>
      </c>
      <c r="GY4" t="s">
        <v>195</v>
      </c>
      <c r="GZ4" t="s">
        <v>196</v>
      </c>
      <c r="HA4" t="s">
        <v>197</v>
      </c>
      <c r="HB4" t="s">
        <v>198</v>
      </c>
      <c r="HC4" t="s">
        <v>199</v>
      </c>
      <c r="HD4" t="s">
        <v>200</v>
      </c>
      <c r="HE4" t="s">
        <v>201</v>
      </c>
      <c r="HF4" t="s">
        <v>202</v>
      </c>
      <c r="HG4" t="s">
        <v>203</v>
      </c>
      <c r="HH4" t="s">
        <v>204</v>
      </c>
      <c r="HI4" t="s">
        <v>205</v>
      </c>
      <c r="HJ4" t="s">
        <v>206</v>
      </c>
      <c r="HK4" t="s">
        <v>207</v>
      </c>
      <c r="HL4" t="s">
        <v>208</v>
      </c>
      <c r="HM4" t="s">
        <v>209</v>
      </c>
      <c r="HN4" t="s">
        <v>210</v>
      </c>
      <c r="HO4" t="s">
        <v>211</v>
      </c>
      <c r="HP4" t="s">
        <v>212</v>
      </c>
      <c r="HQ4" t="s">
        <v>213</v>
      </c>
      <c r="HR4" t="s">
        <v>214</v>
      </c>
      <c r="HS4" t="s">
        <v>215</v>
      </c>
      <c r="HT4" t="s">
        <v>216</v>
      </c>
      <c r="HU4" t="s">
        <v>217</v>
      </c>
      <c r="HV4" t="s">
        <v>218</v>
      </c>
      <c r="HW4" t="s">
        <v>219</v>
      </c>
      <c r="HX4" t="s">
        <v>220</v>
      </c>
      <c r="HY4" t="s">
        <v>221</v>
      </c>
      <c r="HZ4" t="s">
        <v>222</v>
      </c>
      <c r="NT4" t="s">
        <v>223</v>
      </c>
    </row>
    <row r="5" ht="58.5" customHeight="1" spans="1:105" x14ac:dyDescent="0.25">
      <c r="A5" s="33" t="s">
        <v>224</v>
      </c>
      <c r="B5" s="34" t="s">
        <v>225</v>
      </c>
      <c r="C5" s="35" t="s">
        <v>226</v>
      </c>
      <c r="D5" s="35" t="s">
        <v>227</v>
      </c>
      <c r="E5" s="35" t="s">
        <v>228</v>
      </c>
      <c r="F5" s="35" t="s">
        <v>229</v>
      </c>
      <c r="G5" s="36" t="s">
        <v>230</v>
      </c>
      <c r="H5" s="36" t="s">
        <v>231</v>
      </c>
      <c r="I5" s="37" t="s">
        <v>232</v>
      </c>
      <c r="J5" s="37" t="s">
        <v>233</v>
      </c>
      <c r="K5" s="35" t="s">
        <v>234</v>
      </c>
      <c r="L5" s="35" t="s">
        <v>235</v>
      </c>
      <c r="M5" s="35" t="s">
        <v>236</v>
      </c>
      <c r="N5" s="35" t="s">
        <v>237</v>
      </c>
      <c r="O5" s="35" t="s">
        <v>238</v>
      </c>
      <c r="P5" s="35" t="s">
        <v>239</v>
      </c>
      <c r="Q5" s="38" t="s">
        <v>240</v>
      </c>
      <c r="R5" s="35" t="s">
        <v>241</v>
      </c>
      <c r="S5" s="35" t="s">
        <v>242</v>
      </c>
      <c r="T5" s="37" t="s">
        <v>243</v>
      </c>
      <c r="U5" s="36" t="s">
        <v>244</v>
      </c>
      <c r="V5" s="37" t="s">
        <v>245</v>
      </c>
      <c r="W5" s="22" t="s">
        <v>246</v>
      </c>
      <c r="X5" s="39" t="s">
        <v>247</v>
      </c>
      <c r="Y5" s="39" t="s">
        <v>248</v>
      </c>
      <c r="Z5" s="39" t="s">
        <v>249</v>
      </c>
      <c r="AA5" s="24" t="s">
        <v>250</v>
      </c>
      <c r="AB5" s="25"/>
      <c r="AC5" s="26"/>
      <c r="AD5" s="26"/>
      <c r="AE5" s="26"/>
      <c r="AF5" s="26"/>
      <c r="AG5" s="26"/>
      <c r="AH5" s="40" t="s">
        <v>251</v>
      </c>
      <c r="AI5" s="27" t="s">
        <v>252</v>
      </c>
      <c r="AJ5" s="28" t="s">
        <v>253</v>
      </c>
      <c r="AK5" s="28" t="s">
        <v>254</v>
      </c>
      <c r="AL5" s="28" t="s">
        <v>255</v>
      </c>
      <c r="AM5" s="29"/>
      <c r="AN5" s="29"/>
      <c r="AO5" s="29"/>
      <c r="AP5" s="31" t="s">
        <v>256</v>
      </c>
      <c r="AQ5" s="31" t="s">
        <v>257</v>
      </c>
      <c r="AR5" s="31"/>
      <c r="AS5" s="31"/>
      <c r="AT5" s="41" t="s">
        <v>258</v>
      </c>
      <c r="AU5" s="41" t="s">
        <v>259</v>
      </c>
      <c r="AV5" s="41" t="s">
        <v>260</v>
      </c>
      <c r="AW5" s="41" t="s">
        <v>261</v>
      </c>
      <c r="AX5" s="41" t="s">
        <v>262</v>
      </c>
      <c r="AY5" s="41" t="s">
        <v>263</v>
      </c>
      <c r="AZ5" s="41" t="s">
        <v>264</v>
      </c>
      <c r="BA5" s="41" t="s">
        <v>265</v>
      </c>
      <c r="BB5" s="41" t="s">
        <v>266</v>
      </c>
      <c r="BC5" s="41" t="s">
        <v>267</v>
      </c>
      <c r="BD5" s="41"/>
      <c r="BE5" s="41"/>
      <c r="BF5" t="s">
        <v>268</v>
      </c>
      <c r="BG5" t="s">
        <v>269</v>
      </c>
      <c r="BH5" t="s">
        <v>270</v>
      </c>
      <c r="BI5" t="s">
        <v>271</v>
      </c>
      <c r="BJ5" t="s">
        <v>272</v>
      </c>
      <c r="BK5" t="s">
        <v>273</v>
      </c>
      <c r="BL5" t="s">
        <v>274</v>
      </c>
      <c r="BM5" t="s">
        <v>275</v>
      </c>
      <c r="BN5" t="s">
        <v>276</v>
      </c>
      <c r="BO5" t="s">
        <v>277</v>
      </c>
      <c r="BP5" t="s">
        <v>278</v>
      </c>
      <c r="BQ5" t="s">
        <v>279</v>
      </c>
      <c r="BR5" t="s">
        <v>280</v>
      </c>
      <c r="BS5" t="s">
        <v>281</v>
      </c>
      <c r="BT5" t="s">
        <v>282</v>
      </c>
      <c r="BU5" t="s">
        <v>283</v>
      </c>
      <c r="BV5" t="s">
        <v>284</v>
      </c>
      <c r="BW5" t="s">
        <v>285</v>
      </c>
      <c r="BX5" t="s">
        <v>286</v>
      </c>
      <c r="BY5" t="s">
        <v>287</v>
      </c>
      <c r="BZ5" t="s">
        <v>288</v>
      </c>
      <c r="CA5" t="s">
        <v>289</v>
      </c>
      <c r="CT5" t="s">
        <v>223</v>
      </c>
      <c r="CV5" t="s">
        <v>290</v>
      </c>
      <c r="CW5" t="s">
        <v>291</v>
      </c>
      <c r="CX5" t="s">
        <v>292</v>
      </c>
      <c r="CY5" t="s">
        <v>293</v>
      </c>
      <c r="CZ5" t="s">
        <v>20</v>
      </c>
      <c r="DA5" t="s">
        <v>294</v>
      </c>
    </row>
    <row r="6" ht="100" customHeight="1" spans="1:57" x14ac:dyDescent="0.25">
      <c r="A6" s="42"/>
      <c r="B6" s="43"/>
      <c r="C6" s="44" t="s">
        <v>295</v>
      </c>
      <c r="D6" s="44" t="s">
        <v>296</v>
      </c>
      <c r="E6" s="44" t="s">
        <v>297</v>
      </c>
      <c r="F6" s="44" t="s">
        <v>298</v>
      </c>
      <c r="G6" s="45"/>
      <c r="H6" s="46"/>
      <c r="I6" s="44" t="s">
        <v>299</v>
      </c>
      <c r="J6" s="44" t="s">
        <v>300</v>
      </c>
      <c r="K6" s="47" t="s">
        <v>301</v>
      </c>
      <c r="L6" s="48" t="s">
        <v>302</v>
      </c>
      <c r="M6" s="49" t="s">
        <v>303</v>
      </c>
      <c r="N6" s="49" t="s">
        <v>304</v>
      </c>
      <c r="O6" s="50" t="s">
        <v>305</v>
      </c>
      <c r="P6" s="49" t="s">
        <v>304</v>
      </c>
      <c r="Q6" s="48" t="s">
        <v>304</v>
      </c>
      <c r="R6" s="48" t="s">
        <v>306</v>
      </c>
      <c r="S6" s="48" t="s">
        <v>307</v>
      </c>
      <c r="T6" s="48" t="s">
        <v>308</v>
      </c>
      <c r="U6" s="50" t="s">
        <v>309</v>
      </c>
      <c r="V6" s="51" t="s">
        <v>310</v>
      </c>
      <c r="W6" s="52" t="s">
        <v>311</v>
      </c>
      <c r="X6" s="53" t="s">
        <v>312</v>
      </c>
      <c r="Y6" s="53" t="s">
        <v>312</v>
      </c>
      <c r="Z6" s="53" t="s">
        <v>313</v>
      </c>
      <c r="AA6" s="53" t="s">
        <v>314</v>
      </c>
      <c r="AB6" s="54"/>
      <c r="AC6" s="54">
        <f>(+X6*Y6*Z6)/1000000</f>
        <v>0</v>
      </c>
      <c r="AD6" s="55" t="e">
        <f>U6/W6</f>
        <v>#DIV/0!</v>
      </c>
      <c r="AE6" s="56" t="e">
        <f>+AC6*AD6</f>
        <v>#DIV/0!</v>
      </c>
      <c r="AF6" s="55" t="e">
        <f>+AA6*AD6</f>
        <v>#DIV/0!</v>
      </c>
      <c r="AG6" s="57">
        <f>+(AC6*1000000)/5000</f>
        <v>0</v>
      </c>
      <c r="AH6" s="58"/>
      <c r="AI6" s="58"/>
      <c r="AJ6" s="59" t="e">
        <f>VLOOKUP(AH6,'CODART PRODUCTO'!B:C,2,0)</f>
        <v>#N/A</v>
      </c>
      <c r="AK6" s="59" t="e">
        <f>VLOOKUP(AI6,'CODART ORIGEN'!B:C,2,0)</f>
        <v>#N/A</v>
      </c>
      <c r="AL6" s="59" t="e">
        <f>VLOOKUP(B6,'CODART RESPONSABLE'!B:C,2,0)</f>
        <v>#N/A</v>
      </c>
      <c r="AM6" s="60">
        <f>IF(ISERROR(UPPER(CONCATENATE($H$1,"-",AJ6,"-",AK6,"-",AL6))),"",UPPER(CONCATENATE($H$1,"-",AJ6,"-",AK6,"-",AL6)))</f>
      </c>
      <c r="AN6" s="61" t="str">
        <f>IF(AND(U6=U7,AQ6=AQ7),"VERIFICAR CANTIDADES COTIZADAS")</f>
        <v>VERIFICAR CANTIDADES COTIZADAS</v>
      </c>
      <c r="AO6" s="62">
        <f>IF(OR(ISERROR(AP6),AQ6&lt;&gt;0,ISERROR(AQ6)),AQ6,AP6)</f>
      </c>
      <c r="AP6" s="63">
        <f>IF(ISERROR(UPPER(CONCATENATE($H$1,"-",AJ6,"-",AK6,"-",AL6,A6))),"",UPPER(CONCATENATE($H$1,"-",AJ6,"-",AK6,"-",AL6,A6)))</f>
      </c>
      <c r="AQ6" s="63"/>
      <c r="AR6" s="63"/>
      <c r="AS6" s="63"/>
      <c r="AT6" s="64" t="s">
        <v>300</v>
      </c>
      <c r="AU6" s="64" t="s">
        <v>300</v>
      </c>
      <c r="AV6" s="64" t="s">
        <v>304</v>
      </c>
      <c r="AW6" s="64" t="s">
        <v>304</v>
      </c>
      <c r="AX6" s="64" t="s">
        <v>304</v>
      </c>
      <c r="AY6" s="64" t="s">
        <v>304</v>
      </c>
      <c r="AZ6" s="64" t="s">
        <v>304</v>
      </c>
      <c r="BA6" s="64" t="s">
        <v>304</v>
      </c>
      <c r="BB6" s="64" t="s">
        <v>304</v>
      </c>
      <c r="BC6" s="64" t="s">
        <v>304</v>
      </c>
      <c r="BD6" s="64"/>
      <c r="BE6" s="64"/>
    </row>
    <row r="7" ht="71.25" customHeight="1" spans="1:57" x14ac:dyDescent="0.25">
      <c r="A7" s="42"/>
      <c r="B7" s="43"/>
      <c r="C7" s="44"/>
      <c r="D7" s="44"/>
      <c r="E7" s="44"/>
      <c r="F7" s="44"/>
      <c r="G7" s="45"/>
      <c r="H7" s="46"/>
      <c r="I7" s="44"/>
      <c r="J7" s="44"/>
      <c r="K7" s="47"/>
      <c r="L7" s="48"/>
      <c r="M7" s="49"/>
      <c r="N7" s="49"/>
      <c r="O7" s="50"/>
      <c r="P7" s="49"/>
      <c r="Q7" s="48"/>
      <c r="R7" s="48"/>
      <c r="S7" s="48"/>
      <c r="T7" s="48"/>
      <c r="U7" s="50"/>
      <c r="V7" s="51"/>
      <c r="W7" s="52"/>
      <c r="X7" s="53"/>
      <c r="Y7" s="53"/>
      <c r="Z7" s="53"/>
      <c r="AA7" s="53"/>
      <c r="AB7" s="54"/>
      <c r="AC7" s="54">
        <f>(+X7*Y7*Z7)/1000000</f>
        <v>0</v>
      </c>
      <c r="AD7" s="55" t="e">
        <f>U7/W7</f>
        <v>#DIV/0!</v>
      </c>
      <c r="AE7" s="56" t="e">
        <f>+AC7*AD7</f>
        <v>#DIV/0!</v>
      </c>
      <c r="AF7" s="55" t="e">
        <f>+AA7*AD7</f>
        <v>#DIV/0!</v>
      </c>
      <c r="AG7" s="57">
        <f>+(AC7*1000000)/5000</f>
        <v>0</v>
      </c>
      <c r="AH7" s="58"/>
      <c r="AI7" s="58"/>
      <c r="AJ7" s="59" t="e">
        <f>VLOOKUP(AH7,'CODART PRODUCTO'!B:C,2,0)</f>
        <v>#N/A</v>
      </c>
      <c r="AK7" s="59" t="e">
        <f>VLOOKUP(AI7,'CODART ORIGEN'!B:C,2,0)</f>
        <v>#N/A</v>
      </c>
      <c r="AL7" s="59" t="e">
        <f>VLOOKUP(B7,'CODART RESPONSABLE'!B:C,2,0)</f>
        <v>#N/A</v>
      </c>
      <c r="AM7" s="60">
        <f>IF(ISERROR(UPPER(CONCATENATE($H$1,"-",AJ7,"-",AK7,"-",AL7))),"",UPPER(CONCATENATE($H$1,"-",AJ7,"-",AK7,"-",AL7)))</f>
      </c>
      <c r="AN7" s="61" t="str">
        <f>IF(AND(U7=U8,AQ7=AQ8),"VERIFICAR CANTIDADES COTIZADAS")</f>
        <v>VERIFICAR CANTIDADES COTIZADAS</v>
      </c>
      <c r="AO7" s="62">
        <f>IF(OR(ISERROR(AP7),AQ7&lt;&gt;0,ISERROR(AQ7)),AQ7,AP7)</f>
      </c>
      <c r="AP7" s="63">
        <f>IF(ISERROR(UPPER(CONCATENATE($H$1,"-",AJ7,"-",AK7,"-",AL7,A7))),"",UPPER(CONCATENATE($H$1,"-",AJ7,"-",AK7,"-",AL7,A7)))</f>
      </c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</row>
    <row r="8" ht="71.25" customHeight="1" spans="1:57" x14ac:dyDescent="0.25">
      <c r="A8" s="42"/>
      <c r="B8" s="43"/>
      <c r="C8" s="44"/>
      <c r="D8" s="44"/>
      <c r="E8" s="44"/>
      <c r="F8" s="44"/>
      <c r="G8" s="45"/>
      <c r="H8" s="46"/>
      <c r="I8" s="44"/>
      <c r="J8" s="44"/>
      <c r="K8" s="47"/>
      <c r="L8" s="48"/>
      <c r="M8" s="49"/>
      <c r="N8" s="49"/>
      <c r="O8" s="50"/>
      <c r="P8" s="49"/>
      <c r="Q8" s="48"/>
      <c r="R8" s="48"/>
      <c r="S8" s="48"/>
      <c r="T8" s="48"/>
      <c r="U8" s="50"/>
      <c r="V8" s="51"/>
      <c r="W8" s="52"/>
      <c r="X8" s="53"/>
      <c r="Y8" s="53"/>
      <c r="Z8" s="53"/>
      <c r="AA8" s="53"/>
      <c r="AB8" s="54"/>
      <c r="AC8" s="54">
        <f>(+X8*Y8*Z8)/1000000</f>
        <v>0</v>
      </c>
      <c r="AD8" s="55" t="e">
        <f>U8/W8</f>
        <v>#DIV/0!</v>
      </c>
      <c r="AE8" s="56" t="e">
        <f>+AC8*AD8</f>
        <v>#DIV/0!</v>
      </c>
      <c r="AF8" s="55" t="e">
        <f>+AA8*AD8</f>
        <v>#DIV/0!</v>
      </c>
      <c r="AG8" s="57">
        <f>+(AC8*1000000)/5000</f>
        <v>0</v>
      </c>
      <c r="AH8" s="58"/>
      <c r="AI8" s="58"/>
      <c r="AJ8" s="59" t="e">
        <f>VLOOKUP(AH8,'CODART PRODUCTO'!B:C,2,0)</f>
        <v>#N/A</v>
      </c>
      <c r="AK8" s="59" t="e">
        <f>VLOOKUP(AI8,'CODART ORIGEN'!B:C,2,0)</f>
        <v>#N/A</v>
      </c>
      <c r="AL8" s="59" t="e">
        <f>VLOOKUP(B8,'CODART RESPONSABLE'!B:C,2,0)</f>
        <v>#N/A</v>
      </c>
      <c r="AM8" s="60">
        <f>IF(ISERROR(UPPER(CONCATENATE($H$1,"-",AJ8,"-",AK8,"-",AL8))),"",UPPER(CONCATENATE($H$1,"-",AJ8,"-",AK8,"-",AL8)))</f>
      </c>
      <c r="AN8" s="61" t="str">
        <f>IF(AND(U8=U9,AQ8=AQ9),"VERIFICAR CANTIDADES COTIZADAS")</f>
        <v>VERIFICAR CANTIDADES COTIZADAS</v>
      </c>
      <c r="AO8" s="62">
        <f>IF(OR(ISERROR(AP8),AQ8&lt;&gt;0,ISERROR(AQ8)),AQ8,AP8)</f>
      </c>
      <c r="AP8" s="63">
        <f>IF(ISERROR(UPPER(CONCATENATE($H$1,"-",AJ8,"-",AK8,"-",AL8,A8))),"",UPPER(CONCATENATE($H$1,"-",AJ8,"-",AK8,"-",AL8,A8)))</f>
      </c>
      <c r="AQ8" s="63"/>
      <c r="AR8" s="63"/>
      <c r="AS8" s="63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</row>
    <row r="9" ht="71.25" customHeight="1" spans="1:57" x14ac:dyDescent="0.25">
      <c r="A9" s="42"/>
      <c r="B9" s="43"/>
      <c r="C9" s="44"/>
      <c r="D9" s="44"/>
      <c r="E9" s="44"/>
      <c r="F9" s="44"/>
      <c r="G9" s="45"/>
      <c r="H9" s="46"/>
      <c r="I9" s="44"/>
      <c r="J9" s="44"/>
      <c r="K9" s="47"/>
      <c r="L9" s="48"/>
      <c r="M9" s="49"/>
      <c r="N9" s="49"/>
      <c r="O9" s="50"/>
      <c r="P9" s="49"/>
      <c r="Q9" s="48"/>
      <c r="R9" s="48"/>
      <c r="S9" s="48"/>
      <c r="T9" s="48"/>
      <c r="U9" s="50"/>
      <c r="V9" s="51"/>
      <c r="W9" s="52"/>
      <c r="X9" s="53"/>
      <c r="Y9" s="53"/>
      <c r="Z9" s="53"/>
      <c r="AA9" s="53"/>
      <c r="AB9" s="54"/>
      <c r="AC9" s="54">
        <f>(+X9*Y9*Z9)/1000000</f>
        <v>0</v>
      </c>
      <c r="AD9" s="55" t="e">
        <f>U9/W9</f>
        <v>#DIV/0!</v>
      </c>
      <c r="AE9" s="56" t="e">
        <f>+AC9*AD9</f>
        <v>#DIV/0!</v>
      </c>
      <c r="AF9" s="55" t="e">
        <f>+AA9*AD9</f>
        <v>#DIV/0!</v>
      </c>
      <c r="AG9" s="57">
        <f>+(AC9*1000000)/5000</f>
        <v>0</v>
      </c>
      <c r="AH9" s="58"/>
      <c r="AI9" s="58"/>
      <c r="AJ9" s="59" t="e">
        <f>VLOOKUP(AH9,'CODART PRODUCTO'!B:C,2,0)</f>
        <v>#N/A</v>
      </c>
      <c r="AK9" s="59" t="e">
        <f>VLOOKUP(AI9,'CODART ORIGEN'!B:C,2,0)</f>
        <v>#N/A</v>
      </c>
      <c r="AL9" s="59" t="e">
        <f>VLOOKUP(B9,'CODART RESPONSABLE'!B:C,2,0)</f>
        <v>#N/A</v>
      </c>
      <c r="AM9" s="60">
        <f>IF(ISERROR(UPPER(CONCATENATE($H$1,"-",AJ9,"-",AK9,"-",AL9))),"",UPPER(CONCATENATE($H$1,"-",AJ9,"-",AK9,"-",AL9)))</f>
      </c>
      <c r="AN9" s="61" t="str">
        <f>IF(AND(U9=U10,AQ9=AQ10),"VERIFICAR CANTIDADES COTIZADAS")</f>
        <v>VERIFICAR CANTIDADES COTIZADAS</v>
      </c>
      <c r="AO9" s="62">
        <f>IF(OR(ISERROR(AP9),AQ9&lt;&gt;0,ISERROR(AQ9)),AQ9,AP9)</f>
      </c>
      <c r="AP9" s="63">
        <f>IF(ISERROR(UPPER(CONCATENATE($H$1,"-",AJ9,"-",AK9,"-",AL9,A9))),"",UPPER(CONCATENATE($H$1,"-",AJ9,"-",AK9,"-",AL9,A9)))</f>
      </c>
      <c r="AQ9" s="63"/>
      <c r="AR9" s="63"/>
      <c r="AS9" s="63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</row>
    <row r="10" ht="71.25" customHeight="1" spans="1:57" x14ac:dyDescent="0.25">
      <c r="A10" s="42"/>
      <c r="B10" s="43"/>
      <c r="C10" s="44"/>
      <c r="D10" s="44"/>
      <c r="E10" s="44"/>
      <c r="F10" s="44"/>
      <c r="G10" s="45"/>
      <c r="H10" s="46"/>
      <c r="I10" s="44"/>
      <c r="J10" s="44"/>
      <c r="K10" s="47"/>
      <c r="L10" s="48"/>
      <c r="M10" s="49"/>
      <c r="N10" s="49"/>
      <c r="O10" s="50"/>
      <c r="P10" s="49"/>
      <c r="Q10" s="48"/>
      <c r="R10" s="48"/>
      <c r="S10" s="48"/>
      <c r="T10" s="48"/>
      <c r="U10" s="50"/>
      <c r="V10" s="51"/>
      <c r="W10" s="52"/>
      <c r="X10" s="53"/>
      <c r="Y10" s="53"/>
      <c r="Z10" s="53"/>
      <c r="AA10" s="53"/>
      <c r="AB10" s="54"/>
      <c r="AC10" s="54">
        <f>(+X10*Y10*Z10)/1000000</f>
        <v>0</v>
      </c>
      <c r="AD10" s="55" t="e">
        <f>U10/W10</f>
        <v>#DIV/0!</v>
      </c>
      <c r="AE10" s="56" t="e">
        <f>+AC10*AD10</f>
        <v>#DIV/0!</v>
      </c>
      <c r="AF10" s="55" t="e">
        <f>+AA10*AD10</f>
        <v>#DIV/0!</v>
      </c>
      <c r="AG10" s="57">
        <f>+(AC10*1000000)/5000</f>
        <v>0</v>
      </c>
      <c r="AH10" s="58"/>
      <c r="AI10" s="58"/>
      <c r="AJ10" s="59" t="e">
        <f>VLOOKUP(AH10,'CODART PRODUCTO'!B:C,2,0)</f>
        <v>#N/A</v>
      </c>
      <c r="AK10" s="59" t="e">
        <f>VLOOKUP(AI10,'CODART ORIGEN'!B:C,2,0)</f>
        <v>#N/A</v>
      </c>
      <c r="AL10" s="59" t="e">
        <f>VLOOKUP(B10,'CODART RESPONSABLE'!B:C,2,0)</f>
        <v>#N/A</v>
      </c>
      <c r="AM10" s="60">
        <f>IF(ISERROR(UPPER(CONCATENATE($H$1,"-",AJ10,"-",AK10,"-",AL10))),"",UPPER(CONCATENATE($H$1,"-",AJ10,"-",AK10,"-",AL10)))</f>
      </c>
      <c r="AN10" s="61" t="str">
        <f>IF(AND(U10=U11,AQ10=AQ11),"VERIFICAR CANTIDADES COTIZADAS")</f>
        <v>VERIFICAR CANTIDADES COTIZADAS</v>
      </c>
      <c r="AO10" s="62">
        <f>IF(OR(ISERROR(AP10),AQ10&lt;&gt;0,ISERROR(AQ10)),AQ10,AP10)</f>
      </c>
      <c r="AP10" s="63">
        <f>IF(ISERROR(UPPER(CONCATENATE($H$1,"-",AJ10,"-",AK10,"-",AL10,A10))),"",UPPER(CONCATENATE($H$1,"-",AJ10,"-",AK10,"-",AL10,A10)))</f>
      </c>
      <c r="AQ10" s="63"/>
      <c r="AR10" s="63"/>
      <c r="AS10" s="63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</row>
    <row r="11" ht="71.25" customHeight="1" spans="1:57" x14ac:dyDescent="0.25">
      <c r="A11" s="42"/>
      <c r="B11" s="43"/>
      <c r="C11" s="44"/>
      <c r="D11" s="44"/>
      <c r="E11" s="44"/>
      <c r="F11" s="44"/>
      <c r="G11" s="45"/>
      <c r="H11" s="46"/>
      <c r="I11" s="44"/>
      <c r="J11" s="44"/>
      <c r="K11" s="47"/>
      <c r="L11" s="48"/>
      <c r="M11" s="49"/>
      <c r="N11" s="49"/>
      <c r="O11" s="50"/>
      <c r="P11" s="49"/>
      <c r="Q11" s="48"/>
      <c r="R11" s="48"/>
      <c r="S11" s="48"/>
      <c r="T11" s="48"/>
      <c r="U11" s="50"/>
      <c r="V11" s="51"/>
      <c r="W11" s="52"/>
      <c r="X11" s="53"/>
      <c r="Y11" s="53"/>
      <c r="Z11" s="53"/>
      <c r="AA11" s="53"/>
      <c r="AB11" s="54"/>
      <c r="AC11" s="54">
        <f>(+X11*Y11*Z11)/1000000</f>
        <v>0</v>
      </c>
      <c r="AD11" s="55" t="e">
        <f>U11/W11</f>
        <v>#DIV/0!</v>
      </c>
      <c r="AE11" s="56" t="e">
        <f>+AC11*AD11</f>
        <v>#DIV/0!</v>
      </c>
      <c r="AF11" s="55" t="e">
        <f>+AA11*AD11</f>
        <v>#DIV/0!</v>
      </c>
      <c r="AG11" s="57">
        <f>+(AC11*1000000)/5000</f>
        <v>0</v>
      </c>
      <c r="AH11" s="58"/>
      <c r="AI11" s="58"/>
      <c r="AJ11" s="59" t="e">
        <f>VLOOKUP(AH11,'CODART PRODUCTO'!B:C,2,0)</f>
        <v>#N/A</v>
      </c>
      <c r="AK11" s="59" t="e">
        <f>VLOOKUP(AI11,'CODART ORIGEN'!B:C,2,0)</f>
        <v>#N/A</v>
      </c>
      <c r="AL11" s="59" t="e">
        <f>VLOOKUP(B11,'CODART RESPONSABLE'!B:C,2,0)</f>
        <v>#N/A</v>
      </c>
      <c r="AM11" s="60">
        <f>IF(ISERROR(UPPER(CONCATENATE($H$1,"-",AJ11,"-",AK11,"-",AL11))),"",UPPER(CONCATENATE($H$1,"-",AJ11,"-",AK11,"-",AL11)))</f>
      </c>
      <c r="AN11" s="61" t="str">
        <f>IF(AND(U11=U12,AQ11=AQ12),"VERIFICAR CANTIDADES COTIZADAS")</f>
        <v>VERIFICAR CANTIDADES COTIZADAS</v>
      </c>
      <c r="AO11" s="62">
        <f>IF(OR(ISERROR(AP11),AQ11&lt;&gt;0,ISERROR(AQ11)),AQ11,AP11)</f>
      </c>
      <c r="AP11" s="63">
        <f>IF(ISERROR(UPPER(CONCATENATE($H$1,"-",AJ11,"-",AK11,"-",AL11,A11))),"",UPPER(CONCATENATE($H$1,"-",AJ11,"-",AK11,"-",AL11,A11)))</f>
      </c>
      <c r="AQ11" s="63"/>
      <c r="AR11" s="63"/>
      <c r="AS11" s="63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</row>
    <row r="12" ht="71.25" customHeight="1" spans="1:57" x14ac:dyDescent="0.25">
      <c r="A12" s="42"/>
      <c r="B12" s="43"/>
      <c r="C12" s="44"/>
      <c r="D12" s="44"/>
      <c r="E12" s="44"/>
      <c r="F12" s="44"/>
      <c r="G12" s="46"/>
      <c r="H12" s="46"/>
      <c r="I12" s="44"/>
      <c r="J12" s="44"/>
      <c r="K12" s="47"/>
      <c r="L12" s="48"/>
      <c r="M12" s="49"/>
      <c r="N12" s="49"/>
      <c r="O12" s="50"/>
      <c r="P12" s="49"/>
      <c r="Q12" s="48"/>
      <c r="R12" s="48"/>
      <c r="S12" s="48"/>
      <c r="T12" s="48"/>
      <c r="U12" s="50"/>
      <c r="V12" s="51"/>
      <c r="W12" s="52"/>
      <c r="X12" s="53"/>
      <c r="Y12" s="53"/>
      <c r="Z12" s="53"/>
      <c r="AA12" s="53"/>
      <c r="AB12" s="54"/>
      <c r="AC12" s="54">
        <f>(+X12*Y12*Z12)/1000000</f>
        <v>0</v>
      </c>
      <c r="AD12" s="55" t="e">
        <f>U12/W12</f>
        <v>#DIV/0!</v>
      </c>
      <c r="AE12" s="56" t="e">
        <f>+AC12*AD12</f>
        <v>#DIV/0!</v>
      </c>
      <c r="AF12" s="55" t="e">
        <f>+AA12*AD12</f>
        <v>#DIV/0!</v>
      </c>
      <c r="AG12" s="57">
        <f>+(AC12*1000000)/5000</f>
        <v>0</v>
      </c>
      <c r="AH12" s="58"/>
      <c r="AI12" s="58"/>
      <c r="AJ12" s="59" t="e">
        <f>VLOOKUP(AH12,'CODART PRODUCTO'!B:C,2,0)</f>
        <v>#N/A</v>
      </c>
      <c r="AK12" s="59" t="e">
        <f>VLOOKUP(AI12,'CODART ORIGEN'!B:C,2,0)</f>
        <v>#N/A</v>
      </c>
      <c r="AL12" s="59" t="e">
        <f>VLOOKUP(B12,'CODART RESPONSABLE'!B:C,2,0)</f>
        <v>#N/A</v>
      </c>
      <c r="AM12" s="60">
        <f>IF(ISERROR(UPPER(CONCATENATE($H$1,"-",AJ12,"-",AK12,"-",AL12))),"",UPPER(CONCATENATE($H$1,"-",AJ12,"-",AK12,"-",AL12)))</f>
      </c>
      <c r="AN12" s="61" t="str">
        <f>IF(AND(U12=U13,AQ12=AQ13),"VERIFICAR CANTIDADES COTIZADAS")</f>
        <v>VERIFICAR CANTIDADES COTIZADAS</v>
      </c>
      <c r="AO12" s="62">
        <f>IF(OR(ISERROR(AP12),AQ12&lt;&gt;0,ISERROR(AQ12)),AQ12,AP12)</f>
      </c>
      <c r="AP12" s="63">
        <f>IF(ISERROR(UPPER(CONCATENATE($H$1,"-",AJ12,"-",AK12,"-",AL12,A12))),"",UPPER(CONCATENATE($H$1,"-",AJ12,"-",AK12,"-",AL12,A12)))</f>
      </c>
      <c r="AQ12" s="63"/>
      <c r="AR12" s="63"/>
      <c r="AS12" s="63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</row>
    <row r="13" ht="71.25" customHeight="1" spans="1:57" x14ac:dyDescent="0.25">
      <c r="A13" s="42"/>
      <c r="B13" s="43"/>
      <c r="C13" s="44"/>
      <c r="D13" s="44"/>
      <c r="E13" s="44"/>
      <c r="F13" s="44"/>
      <c r="G13" s="46"/>
      <c r="H13" s="46"/>
      <c r="I13" s="44"/>
      <c r="J13" s="44"/>
      <c r="K13" s="47"/>
      <c r="L13" s="48"/>
      <c r="M13" s="49"/>
      <c r="N13" s="49"/>
      <c r="O13" s="50"/>
      <c r="P13" s="49"/>
      <c r="Q13" s="48"/>
      <c r="R13" s="48"/>
      <c r="S13" s="48"/>
      <c r="T13" s="48"/>
      <c r="U13" s="50"/>
      <c r="V13" s="51"/>
      <c r="W13" s="52"/>
      <c r="X13" s="53"/>
      <c r="Y13" s="53"/>
      <c r="Z13" s="53"/>
      <c r="AA13" s="53"/>
      <c r="AB13" s="54"/>
      <c r="AC13" s="54">
        <f>(+X13*Y13*Z13)/1000000</f>
        <v>0</v>
      </c>
      <c r="AD13" s="55" t="e">
        <f>U13/W13</f>
        <v>#DIV/0!</v>
      </c>
      <c r="AE13" s="56" t="e">
        <f>+AC13*AD13</f>
        <v>#DIV/0!</v>
      </c>
      <c r="AF13" s="55" t="e">
        <f>+AA13*AD13</f>
        <v>#DIV/0!</v>
      </c>
      <c r="AG13" s="57">
        <f>+(AC13*1000000)/5000</f>
        <v>0</v>
      </c>
      <c r="AH13" s="58"/>
      <c r="AI13" s="58"/>
      <c r="AJ13" s="59" t="e">
        <f>VLOOKUP(AH13,'CODART PRODUCTO'!B:C,2,0)</f>
        <v>#N/A</v>
      </c>
      <c r="AK13" s="59" t="e">
        <f>VLOOKUP(AI13,'CODART ORIGEN'!B:C,2,0)</f>
        <v>#N/A</v>
      </c>
      <c r="AL13" s="59" t="e">
        <f>VLOOKUP(B13,'CODART RESPONSABLE'!B:C,2,0)</f>
        <v>#N/A</v>
      </c>
      <c r="AM13" s="60">
        <f>IF(ISERROR(UPPER(CONCATENATE($H$1,"-",AJ13,"-",AK13,"-",AL13))),"",UPPER(CONCATENATE($H$1,"-",AJ13,"-",AK13,"-",AL13)))</f>
      </c>
      <c r="AN13" s="61" t="str">
        <f>IF(AND(U13=U14,AQ13=AQ14),"VERIFICAR CANTIDADES COTIZADAS")</f>
        <v>VERIFICAR CANTIDADES COTIZADAS</v>
      </c>
      <c r="AO13" s="62">
        <f>IF(OR(ISERROR(AP13),AQ13&lt;&gt;0,ISERROR(AQ13)),AQ13,AP13)</f>
      </c>
      <c r="AP13" s="63">
        <f>IF(ISERROR(UPPER(CONCATENATE($H$1,"-",AJ13,"-",AK13,"-",AL13,A13))),"",UPPER(CONCATENATE($H$1,"-",AJ13,"-",AK13,"-",AL13,A13)))</f>
      </c>
      <c r="AQ13" s="63"/>
      <c r="AR13" s="63"/>
      <c r="AS13" s="63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</row>
    <row r="14" ht="71.25" customHeight="1" spans="1:57" x14ac:dyDescent="0.25">
      <c r="A14" s="42"/>
      <c r="B14" s="43"/>
      <c r="C14" s="44"/>
      <c r="D14" s="44"/>
      <c r="E14" s="44"/>
      <c r="F14" s="44"/>
      <c r="G14" s="46"/>
      <c r="H14" s="46"/>
      <c r="I14" s="44"/>
      <c r="J14" s="44"/>
      <c r="K14" s="47"/>
      <c r="L14" s="48"/>
      <c r="M14" s="49"/>
      <c r="N14" s="49"/>
      <c r="O14" s="50"/>
      <c r="P14" s="49"/>
      <c r="Q14" s="48"/>
      <c r="R14" s="48"/>
      <c r="S14" s="48"/>
      <c r="T14" s="48"/>
      <c r="U14" s="50"/>
      <c r="V14" s="51"/>
      <c r="W14" s="52"/>
      <c r="X14" s="53"/>
      <c r="Y14" s="53"/>
      <c r="Z14" s="53"/>
      <c r="AA14" s="53"/>
      <c r="AB14" s="54"/>
      <c r="AC14" s="54">
        <f>(+X14*Y14*Z14)/1000000</f>
        <v>0</v>
      </c>
      <c r="AD14" s="55" t="e">
        <f>U14/W14</f>
        <v>#DIV/0!</v>
      </c>
      <c r="AE14" s="56" t="e">
        <f>+AC14*AD14</f>
        <v>#DIV/0!</v>
      </c>
      <c r="AF14" s="55" t="e">
        <f>+AA14*AD14</f>
        <v>#DIV/0!</v>
      </c>
      <c r="AG14" s="57">
        <f>+(AC14*1000000)/5000</f>
        <v>0</v>
      </c>
      <c r="AH14" s="58"/>
      <c r="AI14" s="58"/>
      <c r="AJ14" s="59" t="e">
        <f>VLOOKUP(AH14,'CODART PRODUCTO'!B:C,2,0)</f>
        <v>#N/A</v>
      </c>
      <c r="AK14" s="59" t="e">
        <f>VLOOKUP(AI14,'CODART ORIGEN'!B:C,2,0)</f>
        <v>#N/A</v>
      </c>
      <c r="AL14" s="59" t="e">
        <f>VLOOKUP(B14,'CODART RESPONSABLE'!B:C,2,0)</f>
        <v>#N/A</v>
      </c>
      <c r="AM14" s="60">
        <f>IF(ISERROR(UPPER(CONCATENATE($H$1,"-",AJ14,"-",AK14,"-",AL14))),"",UPPER(CONCATENATE($H$1,"-",AJ14,"-",AK14,"-",AL14)))</f>
      </c>
      <c r="AN14" s="61" t="str">
        <f>IF(AND(U14=U15,AQ14=AQ15),"VERIFICAR CANTIDADES COTIZADAS")</f>
        <v>VERIFICAR CANTIDADES COTIZADAS</v>
      </c>
      <c r="AO14" s="62">
        <f>IF(OR(ISERROR(AP14),AQ14&lt;&gt;0,ISERROR(AQ14)),AQ14,AP14)</f>
      </c>
      <c r="AP14" s="63">
        <f>IF(ISERROR(UPPER(CONCATENATE($H$1,"-",AJ14,"-",AK14,"-",AL14,A14))),"",UPPER(CONCATENATE($H$1,"-",AJ14,"-",AK14,"-",AL14,A14)))</f>
      </c>
      <c r="AQ14" s="63"/>
      <c r="AR14" s="63"/>
      <c r="AS14" s="63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</row>
    <row r="15" ht="71.25" customHeight="1" spans="1:57" x14ac:dyDescent="0.25">
      <c r="A15" s="42"/>
      <c r="B15" s="43"/>
      <c r="C15" s="44"/>
      <c r="D15" s="44"/>
      <c r="E15" s="44"/>
      <c r="F15" s="44"/>
      <c r="G15" s="46"/>
      <c r="H15" s="46"/>
      <c r="I15" s="44"/>
      <c r="J15" s="44"/>
      <c r="K15" s="47"/>
      <c r="L15" s="48"/>
      <c r="M15" s="49"/>
      <c r="N15" s="49"/>
      <c r="O15" s="50"/>
      <c r="P15" s="49"/>
      <c r="Q15" s="48"/>
      <c r="R15" s="48"/>
      <c r="S15" s="48"/>
      <c r="T15" s="48"/>
      <c r="U15" s="50"/>
      <c r="V15" s="51"/>
      <c r="W15" s="52"/>
      <c r="X15" s="53"/>
      <c r="Y15" s="53"/>
      <c r="Z15" s="53"/>
      <c r="AA15" s="53"/>
      <c r="AB15" s="54"/>
      <c r="AC15" s="54">
        <f>(+X15*Y15*Z15)/1000000</f>
        <v>0</v>
      </c>
      <c r="AD15" s="55" t="e">
        <f>U15/W15</f>
        <v>#DIV/0!</v>
      </c>
      <c r="AE15" s="56" t="e">
        <f>+AC15*AD15</f>
        <v>#DIV/0!</v>
      </c>
      <c r="AF15" s="55" t="e">
        <f>+AA15*AD15</f>
        <v>#DIV/0!</v>
      </c>
      <c r="AG15" s="57">
        <f>+(AC15*1000000)/5000</f>
        <v>0</v>
      </c>
      <c r="AH15" s="58"/>
      <c r="AI15" s="58"/>
      <c r="AJ15" s="59" t="e">
        <f>VLOOKUP(AH15,'CODART PRODUCTO'!B:C,2,0)</f>
        <v>#N/A</v>
      </c>
      <c r="AK15" s="59" t="e">
        <f>VLOOKUP(AI15,'CODART ORIGEN'!B:C,2,0)</f>
        <v>#N/A</v>
      </c>
      <c r="AL15" s="59" t="e">
        <f>VLOOKUP(B15,'CODART RESPONSABLE'!B:C,2,0)</f>
        <v>#N/A</v>
      </c>
      <c r="AM15" s="60">
        <f>IF(ISERROR(UPPER(CONCATENATE($H$1,"-",AJ15,"-",AK15,"-",AL15))),"",UPPER(CONCATENATE($H$1,"-",AJ15,"-",AK15,"-",AL15)))</f>
      </c>
      <c r="AN15" s="61" t="str">
        <f>IF(AND(U15=U16,AQ15=AQ16),"VERIFICAR CANTIDADES COTIZADAS")</f>
        <v>VERIFICAR CANTIDADES COTIZADAS</v>
      </c>
      <c r="AO15" s="62">
        <f>IF(OR(ISERROR(AP15),AQ15&lt;&gt;0,ISERROR(AQ15)),AQ15,AP15)</f>
      </c>
      <c r="AP15" s="63">
        <f>IF(ISERROR(UPPER(CONCATENATE($H$1,"-",AJ15,"-",AK15,"-",AL15,A15))),"",UPPER(CONCATENATE($H$1,"-",AJ15,"-",AK15,"-",AL15,A15)))</f>
      </c>
      <c r="AQ15" s="63"/>
      <c r="AR15" s="63"/>
      <c r="AS15" s="63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</row>
    <row r="16" ht="71.25" customHeight="1" spans="1:57" x14ac:dyDescent="0.25">
      <c r="A16" s="42"/>
      <c r="B16" s="43"/>
      <c r="C16" s="44"/>
      <c r="D16" s="44"/>
      <c r="E16" s="44"/>
      <c r="F16" s="44"/>
      <c r="G16" s="46"/>
      <c r="H16" s="46"/>
      <c r="I16" s="44"/>
      <c r="J16" s="44"/>
      <c r="K16" s="47"/>
      <c r="L16" s="48"/>
      <c r="M16" s="49"/>
      <c r="N16" s="49"/>
      <c r="O16" s="50"/>
      <c r="P16" s="49"/>
      <c r="Q16" s="48"/>
      <c r="R16" s="48"/>
      <c r="S16" s="48"/>
      <c r="T16" s="48"/>
      <c r="U16" s="50"/>
      <c r="V16" s="51"/>
      <c r="W16" s="52"/>
      <c r="X16" s="53"/>
      <c r="Y16" s="53"/>
      <c r="Z16" s="53"/>
      <c r="AA16" s="53"/>
      <c r="AB16" s="54"/>
      <c r="AC16" s="54">
        <f>(+X16*Y16*Z16)/1000000</f>
        <v>0</v>
      </c>
      <c r="AD16" s="55" t="e">
        <f>U16/W16</f>
        <v>#DIV/0!</v>
      </c>
      <c r="AE16" s="56" t="e">
        <f>+AC16*AD16</f>
        <v>#DIV/0!</v>
      </c>
      <c r="AF16" s="55" t="e">
        <f>+AA16*AD16</f>
        <v>#DIV/0!</v>
      </c>
      <c r="AG16" s="57">
        <f>+(AC16*1000000)/5000</f>
        <v>0</v>
      </c>
      <c r="AH16" s="58"/>
      <c r="AI16" s="58"/>
      <c r="AJ16" s="59" t="e">
        <f>VLOOKUP(AH16,'CODART PRODUCTO'!B:C,2,0)</f>
        <v>#N/A</v>
      </c>
      <c r="AK16" s="59" t="e">
        <f>VLOOKUP(AI16,'CODART ORIGEN'!B:C,2,0)</f>
        <v>#N/A</v>
      </c>
      <c r="AL16" s="59" t="e">
        <f>VLOOKUP(B16,'CODART RESPONSABLE'!B:C,2,0)</f>
        <v>#N/A</v>
      </c>
      <c r="AM16" s="60">
        <f>IF(ISERROR(UPPER(CONCATENATE($H$1,"-",AJ16,"-",AK16,"-",AL16))),"",UPPER(CONCATENATE($H$1,"-",AJ16,"-",AK16,"-",AL16)))</f>
      </c>
      <c r="AN16" s="61" t="str">
        <f>IF(AND(U16=U17,AQ16=AQ17),"VERIFICAR CANTIDADES COTIZADAS")</f>
        <v>VERIFICAR CANTIDADES COTIZADAS</v>
      </c>
      <c r="AO16" s="62">
        <f>IF(OR(ISERROR(AP16),AQ16&lt;&gt;0,ISERROR(AQ16)),AQ16,AP16)</f>
      </c>
      <c r="AP16" s="63">
        <f>IF(ISERROR(UPPER(CONCATENATE($H$1,"-",AJ16,"-",AK16,"-",AL16,A16))),"",UPPER(CONCATENATE($H$1,"-",AJ16,"-",AK16,"-",AL16,A16)))</f>
      </c>
      <c r="AQ16" s="63"/>
      <c r="AR16" s="63"/>
      <c r="AS16" s="63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</row>
    <row r="17" ht="71.25" customHeight="1" spans="1:57" x14ac:dyDescent="0.25">
      <c r="A17" s="42"/>
      <c r="B17" s="43"/>
      <c r="C17" s="44"/>
      <c r="D17" s="44"/>
      <c r="E17" s="44"/>
      <c r="F17" s="44"/>
      <c r="G17" s="46"/>
      <c r="H17" s="46"/>
      <c r="I17" s="44"/>
      <c r="J17" s="65"/>
      <c r="K17" s="47"/>
      <c r="L17" s="48"/>
      <c r="M17" s="49"/>
      <c r="N17" s="49"/>
      <c r="O17" s="50"/>
      <c r="P17" s="49"/>
      <c r="Q17" s="48"/>
      <c r="R17" s="48"/>
      <c r="S17" s="48"/>
      <c r="T17" s="48"/>
      <c r="U17" s="46"/>
      <c r="V17" s="51"/>
      <c r="W17" s="52"/>
      <c r="X17" s="53"/>
      <c r="Y17" s="53"/>
      <c r="Z17" s="53"/>
      <c r="AA17" s="53"/>
      <c r="AB17" s="54"/>
      <c r="AC17" s="54">
        <f>(+X17*Y17*Z17)/1000000</f>
        <v>0</v>
      </c>
      <c r="AD17" s="55" t="e">
        <f>U17/W17</f>
        <v>#DIV/0!</v>
      </c>
      <c r="AE17" s="56" t="e">
        <f>+AC17*AD17</f>
        <v>#DIV/0!</v>
      </c>
      <c r="AF17" s="55" t="e">
        <f>+AA17*AD17</f>
        <v>#DIV/0!</v>
      </c>
      <c r="AG17" s="57">
        <f>+(AC17*1000000)/5000</f>
        <v>0</v>
      </c>
      <c r="AH17" s="58"/>
      <c r="AI17" s="58"/>
      <c r="AJ17" s="59" t="e">
        <f>VLOOKUP(AH17,'CODART PRODUCTO'!B:C,2,0)</f>
        <v>#N/A</v>
      </c>
      <c r="AK17" s="59" t="e">
        <f>VLOOKUP(AI17,'CODART ORIGEN'!B:C,2,0)</f>
        <v>#N/A</v>
      </c>
      <c r="AL17" s="59" t="e">
        <f>VLOOKUP(B17,'CODART RESPONSABLE'!B:C,2,0)</f>
        <v>#N/A</v>
      </c>
      <c r="AM17" s="60">
        <f>IF(ISERROR(UPPER(CONCATENATE($H$1,"-",AJ17,"-",AK17,"-",AL17))),"",UPPER(CONCATENATE($H$1,"-",AJ17,"-",AK17,"-",AL17)))</f>
      </c>
      <c r="AN17" s="61" t="str">
        <f>IF(AND(U17=U18,AQ17=AQ18),"VERIFICAR CANTIDADES COTIZADAS")</f>
        <v>VERIFICAR CANTIDADES COTIZADAS</v>
      </c>
      <c r="AO17" s="62">
        <f>IF(OR(ISERROR(AP17),AQ17&lt;&gt;0,ISERROR(AQ17)),AQ17,AP17)</f>
      </c>
      <c r="AP17" s="63">
        <f>IF(ISERROR(UPPER(CONCATENATE($H$1,"-",AJ17,"-",AK17,"-",AL17,A17))),"",UPPER(CONCATENATE($H$1,"-",AJ17,"-",AK17,"-",AL17,A17)))</f>
      </c>
      <c r="AQ17" s="63"/>
      <c r="AR17" s="63"/>
      <c r="AS17" s="63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</row>
    <row r="18" ht="71.25" customHeight="1" spans="1:57" x14ac:dyDescent="0.25">
      <c r="A18" s="42"/>
      <c r="B18" s="43"/>
      <c r="C18" s="44"/>
      <c r="D18" s="44"/>
      <c r="E18" s="44"/>
      <c r="F18" s="44"/>
      <c r="G18" s="46"/>
      <c r="H18" s="46"/>
      <c r="I18" s="44"/>
      <c r="J18" s="65"/>
      <c r="K18" s="47"/>
      <c r="L18" s="48"/>
      <c r="M18" s="49"/>
      <c r="N18" s="49"/>
      <c r="O18" s="50"/>
      <c r="P18" s="49"/>
      <c r="Q18" s="48"/>
      <c r="R18" s="48"/>
      <c r="S18" s="48"/>
      <c r="T18" s="48"/>
      <c r="U18" s="46"/>
      <c r="V18" s="51"/>
      <c r="W18" s="52"/>
      <c r="X18" s="53"/>
      <c r="Y18" s="53"/>
      <c r="Z18" s="53"/>
      <c r="AA18" s="53"/>
      <c r="AB18" s="54"/>
      <c r="AC18" s="54">
        <f>(+X18*Y18*Z18)/1000000</f>
        <v>0</v>
      </c>
      <c r="AD18" s="55" t="e">
        <f>U18/W18</f>
        <v>#DIV/0!</v>
      </c>
      <c r="AE18" s="56" t="e">
        <f>+AC18*AD18</f>
        <v>#DIV/0!</v>
      </c>
      <c r="AF18" s="55" t="e">
        <f>+AA18*AD18</f>
        <v>#DIV/0!</v>
      </c>
      <c r="AG18" s="57">
        <f>+(AC18*1000000)/5000</f>
        <v>0</v>
      </c>
      <c r="AH18" s="58"/>
      <c r="AI18" s="58"/>
      <c r="AJ18" s="59" t="e">
        <f>VLOOKUP(AH18,'CODART PRODUCTO'!B:C,2,0)</f>
        <v>#N/A</v>
      </c>
      <c r="AK18" s="59" t="e">
        <f>VLOOKUP(AI18,'CODART ORIGEN'!B:C,2,0)</f>
        <v>#N/A</v>
      </c>
      <c r="AL18" s="59" t="e">
        <f>VLOOKUP(B18,'CODART RESPONSABLE'!B:C,2,0)</f>
        <v>#N/A</v>
      </c>
      <c r="AM18" s="60">
        <f>IF(ISERROR(UPPER(CONCATENATE($H$1,"-",AJ18,"-",AK18,"-",AL18))),"",UPPER(CONCATENATE($H$1,"-",AJ18,"-",AK18,"-",AL18)))</f>
      </c>
      <c r="AN18" s="61" t="str">
        <f>IF(AND(U18=U19,AQ18=AQ19),"VERIFICAR CANTIDADES COTIZADAS")</f>
        <v>VERIFICAR CANTIDADES COTIZADAS</v>
      </c>
      <c r="AO18" s="62">
        <f>IF(OR(ISERROR(AP18),AQ18&lt;&gt;0,ISERROR(AQ18)),AQ18,AP18)</f>
      </c>
      <c r="AP18" s="63">
        <f>IF(ISERROR(UPPER(CONCATENATE($H$1,"-",AJ18,"-",AK18,"-",AL18,A18))),"",UPPER(CONCATENATE($H$1,"-",AJ18,"-",AK18,"-",AL18,A18)))</f>
      </c>
      <c r="AQ18" s="63"/>
      <c r="AR18" s="63"/>
      <c r="AS18" s="63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</row>
    <row r="19" ht="71.25" customHeight="1" spans="1:57" x14ac:dyDescent="0.25">
      <c r="A19" s="42"/>
      <c r="B19" s="43"/>
      <c r="C19" s="44"/>
      <c r="D19" s="44"/>
      <c r="E19" s="44"/>
      <c r="F19" s="44"/>
      <c r="G19" s="46"/>
      <c r="H19" s="46"/>
      <c r="I19" s="44"/>
      <c r="J19" s="65"/>
      <c r="K19" s="47"/>
      <c r="L19" s="48"/>
      <c r="M19" s="49"/>
      <c r="N19" s="49"/>
      <c r="O19" s="50"/>
      <c r="P19" s="49"/>
      <c r="Q19" s="48"/>
      <c r="R19" s="48"/>
      <c r="S19" s="48"/>
      <c r="T19" s="48"/>
      <c r="U19" s="46"/>
      <c r="V19" s="51"/>
      <c r="W19" s="52"/>
      <c r="X19" s="53"/>
      <c r="Y19" s="53"/>
      <c r="Z19" s="53"/>
      <c r="AA19" s="53"/>
      <c r="AB19" s="54"/>
      <c r="AC19" s="54">
        <f>(+X19*Y19*Z19)/1000000</f>
        <v>0</v>
      </c>
      <c r="AD19" s="55" t="e">
        <f>U19/W19</f>
        <v>#DIV/0!</v>
      </c>
      <c r="AE19" s="56" t="e">
        <f>+AC19*AD19</f>
        <v>#DIV/0!</v>
      </c>
      <c r="AF19" s="55" t="e">
        <f>+AA19*AD19</f>
        <v>#DIV/0!</v>
      </c>
      <c r="AG19" s="57">
        <f>+(AC19*1000000)/5000</f>
        <v>0</v>
      </c>
      <c r="AH19" s="58"/>
      <c r="AI19" s="58"/>
      <c r="AJ19" s="59" t="e">
        <f>VLOOKUP(AH19,'CODART PRODUCTO'!B:C,2,0)</f>
        <v>#N/A</v>
      </c>
      <c r="AK19" s="59" t="e">
        <f>VLOOKUP(AI19,'CODART ORIGEN'!B:C,2,0)</f>
        <v>#N/A</v>
      </c>
      <c r="AL19" s="59" t="e">
        <f>VLOOKUP(B19,'CODART RESPONSABLE'!B:C,2,0)</f>
        <v>#N/A</v>
      </c>
      <c r="AM19" s="60">
        <f>IF(ISERROR(UPPER(CONCATENATE($H$1,"-",AJ19,"-",AK19,"-",AL19))),"",UPPER(CONCATENATE($H$1,"-",AJ19,"-",AK19,"-",AL19)))</f>
      </c>
      <c r="AN19" s="61" t="str">
        <f>IF(AND(U19=U20,AQ19=AQ20),"VERIFICAR CANTIDADES COTIZADAS")</f>
        <v>VERIFICAR CANTIDADES COTIZADAS</v>
      </c>
      <c r="AO19" s="62">
        <f>IF(OR(ISERROR(AP19),AQ19&lt;&gt;0,ISERROR(AQ19)),AQ19,AP19)</f>
      </c>
      <c r="AP19" s="63">
        <f>IF(ISERROR(UPPER(CONCATENATE($H$1,"-",AJ19,"-",AK19,"-",AL19,A19))),"",UPPER(CONCATENATE($H$1,"-",AJ19,"-",AK19,"-",AL19,A19)))</f>
      </c>
      <c r="AQ19" s="63"/>
      <c r="AR19" s="63"/>
      <c r="AS19" s="63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</row>
    <row r="20" ht="71.25" customHeight="1" spans="1:57" x14ac:dyDescent="0.25">
      <c r="A20" s="42"/>
      <c r="B20" s="43"/>
      <c r="C20" s="44"/>
      <c r="D20" s="44"/>
      <c r="E20" s="44"/>
      <c r="F20" s="44"/>
      <c r="G20" s="46"/>
      <c r="H20" s="46"/>
      <c r="I20" s="66"/>
      <c r="J20" s="65"/>
      <c r="K20" s="47"/>
      <c r="L20" s="48"/>
      <c r="M20" s="49"/>
      <c r="N20" s="49"/>
      <c r="O20" s="50"/>
      <c r="P20" s="49"/>
      <c r="Q20" s="48"/>
      <c r="R20" s="48"/>
      <c r="S20" s="48"/>
      <c r="T20" s="48"/>
      <c r="U20" s="46"/>
      <c r="V20" s="51"/>
      <c r="W20" s="52"/>
      <c r="X20" s="53"/>
      <c r="Y20" s="53"/>
      <c r="Z20" s="53"/>
      <c r="AA20" s="53"/>
      <c r="AB20" s="54"/>
      <c r="AC20" s="54">
        <f>(+X20*Y20*Z20)/1000000</f>
        <v>0</v>
      </c>
      <c r="AD20" s="55" t="e">
        <f>U20/W20</f>
        <v>#DIV/0!</v>
      </c>
      <c r="AE20" s="56" t="e">
        <f>+AC20*AD20</f>
        <v>#DIV/0!</v>
      </c>
      <c r="AF20" s="55" t="e">
        <f>+AA20*AD20</f>
        <v>#DIV/0!</v>
      </c>
      <c r="AG20" s="57">
        <f>+(AC20*1000000)/5000</f>
        <v>0</v>
      </c>
      <c r="AH20" s="58"/>
      <c r="AI20" s="58"/>
      <c r="AJ20" s="59" t="e">
        <f>VLOOKUP(AH20,'CODART PRODUCTO'!B:C,2,0)</f>
        <v>#N/A</v>
      </c>
      <c r="AK20" s="59" t="e">
        <f>VLOOKUP(AI20,'CODART ORIGEN'!B:C,2,0)</f>
        <v>#N/A</v>
      </c>
      <c r="AL20" s="59" t="e">
        <f>VLOOKUP(B20,'CODART RESPONSABLE'!B:C,2,0)</f>
        <v>#N/A</v>
      </c>
      <c r="AM20" s="60">
        <f>IF(ISERROR(UPPER(CONCATENATE($H$1,"-",AJ20,"-",AK20,"-",AL20))),"",UPPER(CONCATENATE($H$1,"-",AJ20,"-",AK20,"-",AL20)))</f>
      </c>
      <c r="AN20" s="61" t="str">
        <f>IF(AND(U20=U21,AQ20=AQ21),"VERIFICAR CANTIDADES COTIZADAS")</f>
        <v>VERIFICAR CANTIDADES COTIZADAS</v>
      </c>
      <c r="AO20" s="62">
        <f>IF(OR(ISERROR(AP20),AQ20&lt;&gt;0,ISERROR(AQ20)),AQ20,AP20)</f>
      </c>
      <c r="AP20" s="63">
        <f>IF(ISERROR(UPPER(CONCATENATE($H$1,"-",AJ20,"-",AK20,"-",AL20,A20))),"",UPPER(CONCATENATE($H$1,"-",AJ20,"-",AK20,"-",AL20,A20)))</f>
      </c>
      <c r="AQ20" s="63"/>
      <c r="AR20" s="63"/>
      <c r="AS20" s="63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</row>
    <row r="21" ht="71.25" customHeight="1" spans="1:57" x14ac:dyDescent="0.25">
      <c r="A21" s="42"/>
      <c r="B21" s="43"/>
      <c r="C21" s="44"/>
      <c r="D21" s="44"/>
      <c r="E21" s="44"/>
      <c r="F21" s="44"/>
      <c r="G21" s="46"/>
      <c r="H21" s="46"/>
      <c r="I21" s="44"/>
      <c r="J21" s="65"/>
      <c r="K21" s="47"/>
      <c r="L21" s="48"/>
      <c r="M21" s="49"/>
      <c r="N21" s="49"/>
      <c r="O21" s="50"/>
      <c r="P21" s="49"/>
      <c r="Q21" s="48"/>
      <c r="R21" s="48"/>
      <c r="S21" s="48"/>
      <c r="T21" s="48"/>
      <c r="U21" s="46"/>
      <c r="V21" s="51"/>
      <c r="W21" s="52"/>
      <c r="X21" s="53"/>
      <c r="Y21" s="53"/>
      <c r="Z21" s="53"/>
      <c r="AA21" s="53"/>
      <c r="AB21" s="54"/>
      <c r="AC21" s="54">
        <f>(+X21*Y21*Z21)/1000000</f>
        <v>0</v>
      </c>
      <c r="AD21" s="55" t="e">
        <f>U21/W21</f>
        <v>#DIV/0!</v>
      </c>
      <c r="AE21" s="56" t="e">
        <f>+AC21*AD21</f>
        <v>#DIV/0!</v>
      </c>
      <c r="AF21" s="55" t="e">
        <f>+AA21*AD21</f>
        <v>#DIV/0!</v>
      </c>
      <c r="AG21" s="57">
        <f>+(AC21*1000000)/5000</f>
        <v>0</v>
      </c>
      <c r="AH21" s="58"/>
      <c r="AI21" s="58"/>
      <c r="AJ21" s="59" t="e">
        <f>VLOOKUP(AH21,'CODART PRODUCTO'!B:C,2,0)</f>
        <v>#N/A</v>
      </c>
      <c r="AK21" s="59" t="e">
        <f>VLOOKUP(AI21,'CODART ORIGEN'!B:C,2,0)</f>
        <v>#N/A</v>
      </c>
      <c r="AL21" s="59" t="e">
        <f>VLOOKUP(B21,'CODART RESPONSABLE'!B:C,2,0)</f>
        <v>#N/A</v>
      </c>
      <c r="AM21" s="60">
        <f>IF(ISERROR(UPPER(CONCATENATE($H$1,"-",AJ21,"-",AK21,"-",AL21))),"",UPPER(CONCATENATE($H$1,"-",AJ21,"-",AK21,"-",AL21)))</f>
      </c>
      <c r="AN21" s="61" t="str">
        <f>IF(AND(U21=U22,AQ21=AQ22),"VERIFICAR CANTIDADES COTIZADAS")</f>
        <v>VERIFICAR CANTIDADES COTIZADAS</v>
      </c>
      <c r="AO21" s="62">
        <f>IF(OR(ISERROR(AP21),AQ21&lt;&gt;0,ISERROR(AQ21)),AQ21,AP21)</f>
      </c>
      <c r="AP21" s="63">
        <f>IF(ISERROR(UPPER(CONCATENATE($H$1,"-",AJ21,"-",AK21,"-",AL21,A21))),"",UPPER(CONCATENATE($H$1,"-",AJ21,"-",AK21,"-",AL21,A21)))</f>
      </c>
      <c r="AQ21" s="63"/>
      <c r="AR21" s="63"/>
      <c r="AS21" s="63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</row>
    <row r="22" ht="71.25" customHeight="1" spans="1:57" x14ac:dyDescent="0.25">
      <c r="A22" s="42"/>
      <c r="B22" s="43"/>
      <c r="C22" s="44"/>
      <c r="D22" s="44"/>
      <c r="E22" s="44"/>
      <c r="F22" s="44"/>
      <c r="G22" s="46"/>
      <c r="H22" s="46"/>
      <c r="I22" s="44"/>
      <c r="J22" s="65"/>
      <c r="K22" s="47"/>
      <c r="L22" s="48"/>
      <c r="M22" s="49"/>
      <c r="N22" s="49"/>
      <c r="O22" s="50"/>
      <c r="P22" s="49"/>
      <c r="Q22" s="48"/>
      <c r="R22" s="48"/>
      <c r="S22" s="48"/>
      <c r="T22" s="48"/>
      <c r="U22" s="46"/>
      <c r="V22" s="51"/>
      <c r="W22" s="52"/>
      <c r="X22" s="53"/>
      <c r="Y22" s="53"/>
      <c r="Z22" s="53"/>
      <c r="AA22" s="53"/>
      <c r="AB22" s="54"/>
      <c r="AC22" s="54">
        <f>(+X22*Y22*Z22)/1000000</f>
        <v>0</v>
      </c>
      <c r="AD22" s="55" t="e">
        <f>U22/W22</f>
        <v>#DIV/0!</v>
      </c>
      <c r="AE22" s="56" t="e">
        <f>+AC22*AD22</f>
        <v>#DIV/0!</v>
      </c>
      <c r="AF22" s="55" t="e">
        <f>+AA22*AD22</f>
        <v>#DIV/0!</v>
      </c>
      <c r="AG22" s="57">
        <f>+(AC22*1000000)/5000</f>
        <v>0</v>
      </c>
      <c r="AH22" s="58"/>
      <c r="AI22" s="58"/>
      <c r="AJ22" s="59" t="e">
        <f>VLOOKUP(AH22,'CODART PRODUCTO'!B:C,2,0)</f>
        <v>#N/A</v>
      </c>
      <c r="AK22" s="59" t="e">
        <f>VLOOKUP(AI22,'CODART ORIGEN'!B:C,2,0)</f>
        <v>#N/A</v>
      </c>
      <c r="AL22" s="59" t="e">
        <f>VLOOKUP(B22,'CODART RESPONSABLE'!B:C,2,0)</f>
        <v>#N/A</v>
      </c>
      <c r="AM22" s="60">
        <f>IF(ISERROR(UPPER(CONCATENATE($H$1,"-",AJ22,"-",AK22,"-",AL22))),"",UPPER(CONCATENATE($H$1,"-",AJ22,"-",AK22,"-",AL22)))</f>
      </c>
      <c r="AN22" s="61" t="str">
        <f>IF(AND(U22=U23,AQ22=AQ23),"VERIFICAR CANTIDADES COTIZADAS")</f>
        <v>VERIFICAR CANTIDADES COTIZADAS</v>
      </c>
      <c r="AO22" s="62">
        <f>IF(OR(ISERROR(AP22),AQ22&lt;&gt;0,ISERROR(AQ22)),AQ22,AP22)</f>
      </c>
      <c r="AP22" s="63">
        <f>IF(ISERROR(UPPER(CONCATENATE($H$1,"-",AJ22,"-",AK22,"-",AL22,A22))),"",UPPER(CONCATENATE($H$1,"-",AJ22,"-",AK22,"-",AL22,A22)))</f>
      </c>
      <c r="AQ22" s="63"/>
      <c r="AR22" s="63"/>
      <c r="AS22" s="63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</row>
    <row r="23" ht="71.25" customHeight="1" spans="1:57" x14ac:dyDescent="0.25">
      <c r="A23" s="42"/>
      <c r="B23" s="43"/>
      <c r="C23" s="44"/>
      <c r="D23" s="44"/>
      <c r="E23" s="44"/>
      <c r="F23" s="44"/>
      <c r="G23" s="46"/>
      <c r="H23" s="46"/>
      <c r="I23" s="44"/>
      <c r="J23" s="65"/>
      <c r="K23" s="47"/>
      <c r="L23" s="48"/>
      <c r="M23" s="49"/>
      <c r="N23" s="49"/>
      <c r="O23" s="50"/>
      <c r="P23" s="49"/>
      <c r="Q23" s="48"/>
      <c r="R23" s="48"/>
      <c r="S23" s="48"/>
      <c r="T23" s="48"/>
      <c r="U23" s="46"/>
      <c r="V23" s="67"/>
      <c r="W23" s="52"/>
      <c r="X23" s="53"/>
      <c r="Y23" s="53"/>
      <c r="Z23" s="53"/>
      <c r="AA23" s="53"/>
      <c r="AB23" s="54"/>
      <c r="AC23" s="54">
        <f>(+X23*Y23*Z23)/1000000</f>
        <v>0</v>
      </c>
      <c r="AD23" s="55" t="e">
        <f>U23/W23</f>
        <v>#DIV/0!</v>
      </c>
      <c r="AE23" s="56" t="e">
        <f>+AC23*AD23</f>
        <v>#DIV/0!</v>
      </c>
      <c r="AF23" s="55" t="e">
        <f>+AA23*AD23</f>
        <v>#DIV/0!</v>
      </c>
      <c r="AG23" s="57">
        <f>+(AC23*1000000)/5000</f>
        <v>0</v>
      </c>
      <c r="AH23" s="58"/>
      <c r="AI23" s="58"/>
      <c r="AJ23" s="59" t="e">
        <f>VLOOKUP(AH23,'CODART PRODUCTO'!B:C,2,0)</f>
        <v>#N/A</v>
      </c>
      <c r="AK23" s="59" t="e">
        <f>VLOOKUP(AI23,'CODART ORIGEN'!B:C,2,0)</f>
        <v>#N/A</v>
      </c>
      <c r="AL23" s="59" t="e">
        <f>VLOOKUP(B23,'CODART RESPONSABLE'!B:C,2,0)</f>
        <v>#N/A</v>
      </c>
      <c r="AM23" s="60">
        <f>IF(ISERROR(UPPER(CONCATENATE($H$1,"-",AJ23,"-",AK23,"-",AL23))),"",UPPER(CONCATENATE($H$1,"-",AJ23,"-",AK23,"-",AL23)))</f>
      </c>
      <c r="AN23" s="61" t="str">
        <f>IF(AND(U23=U24,AQ23=AQ24),"VERIFICAR CANTIDADES COTIZADAS")</f>
        <v>VERIFICAR CANTIDADES COTIZADAS</v>
      </c>
      <c r="AO23" s="62">
        <f>IF(OR(ISERROR(AP23),AQ23&lt;&gt;0,ISERROR(AQ23)),AQ23,AP23)</f>
      </c>
      <c r="AP23" s="63">
        <f>IF(ISERROR(UPPER(CONCATENATE($H$1,"-",AJ23,"-",AK23,"-",AL23,A23))),"",UPPER(CONCATENATE($H$1,"-",AJ23,"-",AK23,"-",AL23,A23)))</f>
      </c>
      <c r="AQ23" s="63"/>
      <c r="AR23" s="63"/>
      <c r="AS23" s="63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</row>
    <row r="24" ht="71.25" customHeight="1" spans="1:57" x14ac:dyDescent="0.25">
      <c r="A24" s="42"/>
      <c r="B24" s="43"/>
      <c r="C24" s="44"/>
      <c r="D24" s="44"/>
      <c r="E24" s="44"/>
      <c r="F24" s="44"/>
      <c r="G24" s="46"/>
      <c r="H24" s="46"/>
      <c r="I24" s="44"/>
      <c r="J24" s="65"/>
      <c r="K24" s="47"/>
      <c r="L24" s="48"/>
      <c r="M24" s="49"/>
      <c r="N24" s="49"/>
      <c r="O24" s="50"/>
      <c r="P24" s="49"/>
      <c r="Q24" s="48"/>
      <c r="R24" s="48"/>
      <c r="S24" s="48"/>
      <c r="T24" s="48"/>
      <c r="U24" s="46"/>
      <c r="V24" s="67"/>
      <c r="W24" s="52"/>
      <c r="X24" s="53"/>
      <c r="Y24" s="53"/>
      <c r="Z24" s="53"/>
      <c r="AA24" s="53"/>
      <c r="AB24" s="54"/>
      <c r="AC24" s="54">
        <f>(+X24*Y24*Z24)/1000000</f>
        <v>0</v>
      </c>
      <c r="AD24" s="55" t="e">
        <f>U24/W24</f>
        <v>#DIV/0!</v>
      </c>
      <c r="AE24" s="56" t="e">
        <f>+AC24*AD24</f>
        <v>#DIV/0!</v>
      </c>
      <c r="AF24" s="55" t="e">
        <f>+AA24*AD24</f>
        <v>#DIV/0!</v>
      </c>
      <c r="AG24" s="57">
        <f>+(AC24*1000000)/5000</f>
        <v>0</v>
      </c>
      <c r="AH24" s="58"/>
      <c r="AI24" s="58"/>
      <c r="AJ24" s="59" t="e">
        <f>VLOOKUP(AH24,'CODART PRODUCTO'!B:C,2,0)</f>
        <v>#N/A</v>
      </c>
      <c r="AK24" s="59" t="e">
        <f>VLOOKUP(AI24,'CODART ORIGEN'!B:C,2,0)</f>
        <v>#N/A</v>
      </c>
      <c r="AL24" s="59" t="e">
        <f>VLOOKUP(B24,'CODART RESPONSABLE'!B:C,2,0)</f>
        <v>#N/A</v>
      </c>
      <c r="AM24" s="60">
        <f>IF(ISERROR(UPPER(CONCATENATE($H$1,"-",AJ24,"-",AK24,"-",AL24))),"",UPPER(CONCATENATE($H$1,"-",AJ24,"-",AK24,"-",AL24)))</f>
      </c>
      <c r="AN24" s="61" t="str">
        <f>IF(AND(U24=U25,AQ24=AQ25),"VERIFICAR CANTIDADES COTIZADAS")</f>
        <v>VERIFICAR CANTIDADES COTIZADAS</v>
      </c>
      <c r="AO24" s="62">
        <f>IF(OR(ISERROR(AP24),AQ24&lt;&gt;0,ISERROR(AQ24)),AQ24,AP24)</f>
      </c>
      <c r="AP24" s="63">
        <f>IF(ISERROR(UPPER(CONCATENATE($H$1,"-",AJ24,"-",AK24,"-",AL24,A24))),"",UPPER(CONCATENATE($H$1,"-",AJ24,"-",AK24,"-",AL24,A24)))</f>
      </c>
      <c r="AQ24" s="63"/>
      <c r="AR24" s="63"/>
      <c r="AS24" s="63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</row>
    <row r="25" ht="71.25" customHeight="1" spans="1:57" x14ac:dyDescent="0.25">
      <c r="A25" s="42"/>
      <c r="B25" s="43"/>
      <c r="C25" s="44"/>
      <c r="D25" s="44"/>
      <c r="E25" s="44"/>
      <c r="F25" s="44"/>
      <c r="G25" s="46"/>
      <c r="H25" s="46"/>
      <c r="I25" s="44"/>
      <c r="J25" s="65"/>
      <c r="K25" s="47"/>
      <c r="L25" s="48"/>
      <c r="M25" s="49"/>
      <c r="N25" s="49"/>
      <c r="O25" s="50"/>
      <c r="P25" s="49"/>
      <c r="Q25" s="48"/>
      <c r="R25" s="48"/>
      <c r="S25" s="48"/>
      <c r="T25" s="48"/>
      <c r="U25" s="46"/>
      <c r="V25" s="67"/>
      <c r="W25" s="52"/>
      <c r="X25" s="53"/>
      <c r="Y25" s="53"/>
      <c r="Z25" s="53"/>
      <c r="AA25" s="53"/>
      <c r="AB25" s="54"/>
      <c r="AC25" s="54">
        <f>(+X25*Y25*Z25)/1000000</f>
        <v>0</v>
      </c>
      <c r="AD25" s="55" t="e">
        <f>U25/W25</f>
        <v>#DIV/0!</v>
      </c>
      <c r="AE25" s="56" t="e">
        <f>+AC25*AD25</f>
        <v>#DIV/0!</v>
      </c>
      <c r="AF25" s="55" t="e">
        <f>+AA25*AD25</f>
        <v>#DIV/0!</v>
      </c>
      <c r="AG25" s="57">
        <f>+(AC25*1000000)/5000</f>
        <v>0</v>
      </c>
      <c r="AH25" s="58"/>
      <c r="AI25" s="58"/>
      <c r="AJ25" s="59" t="e">
        <f>VLOOKUP(AH25,'CODART PRODUCTO'!B:C,2,0)</f>
        <v>#N/A</v>
      </c>
      <c r="AK25" s="59" t="e">
        <f>VLOOKUP(AI25,'CODART ORIGEN'!B:C,2,0)</f>
        <v>#N/A</v>
      </c>
      <c r="AL25" s="59" t="e">
        <f>VLOOKUP(B25,'CODART RESPONSABLE'!B:C,2,0)</f>
        <v>#N/A</v>
      </c>
      <c r="AM25" s="60">
        <f>IF(ISERROR(UPPER(CONCATENATE($H$1,"-",AJ25,"-",AK25,"-",AL25))),"",UPPER(CONCATENATE($H$1,"-",AJ25,"-",AK25,"-",AL25)))</f>
      </c>
      <c r="AN25" s="61" t="str">
        <f>IF(AND(U25=U26,AQ25=AQ26),"VERIFICAR CANTIDADES COTIZADAS")</f>
        <v>VERIFICAR CANTIDADES COTIZADAS</v>
      </c>
      <c r="AO25" s="62">
        <f>IF(OR(ISERROR(AP25),AQ25&lt;&gt;0,ISERROR(AQ25)),AQ25,AP25)</f>
      </c>
      <c r="AP25" s="63">
        <f>IF(ISERROR(UPPER(CONCATENATE($H$1,"-",AJ25,"-",AK25,"-",AL25,A25))),"",UPPER(CONCATENATE($H$1,"-",AJ25,"-",AK25,"-",AL25,A25)))</f>
      </c>
      <c r="AQ25" s="63"/>
      <c r="AR25" s="63"/>
      <c r="AS25" s="63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</row>
    <row r="26" ht="71.25" customHeight="1" spans="1:57" x14ac:dyDescent="0.25">
      <c r="A26" s="42"/>
      <c r="B26" s="43"/>
      <c r="C26" s="44"/>
      <c r="D26" s="44"/>
      <c r="E26" s="44"/>
      <c r="F26" s="44"/>
      <c r="G26" s="46"/>
      <c r="H26" s="46"/>
      <c r="I26" s="44"/>
      <c r="J26" s="65"/>
      <c r="K26" s="47"/>
      <c r="L26" s="48"/>
      <c r="M26" s="49"/>
      <c r="N26" s="49"/>
      <c r="O26" s="50"/>
      <c r="P26" s="49"/>
      <c r="Q26" s="48"/>
      <c r="R26" s="48"/>
      <c r="S26" s="48"/>
      <c r="T26" s="48"/>
      <c r="U26" s="46"/>
      <c r="V26" s="67"/>
      <c r="W26" s="52"/>
      <c r="X26" s="53"/>
      <c r="Y26" s="53"/>
      <c r="Z26" s="53"/>
      <c r="AA26" s="53"/>
      <c r="AB26" s="54"/>
      <c r="AC26" s="54">
        <f>(+X26*Y26*Z26)/1000000</f>
        <v>0</v>
      </c>
      <c r="AD26" s="55" t="e">
        <f>U26/W26</f>
        <v>#DIV/0!</v>
      </c>
      <c r="AE26" s="56" t="e">
        <f>+AC26*AD26</f>
        <v>#DIV/0!</v>
      </c>
      <c r="AF26" s="55" t="e">
        <f>+AA26*AD26</f>
        <v>#DIV/0!</v>
      </c>
      <c r="AG26" s="57">
        <f>+(AC26*1000000)/5000</f>
        <v>0</v>
      </c>
      <c r="AH26" s="58"/>
      <c r="AI26" s="58"/>
      <c r="AJ26" s="59" t="e">
        <f>VLOOKUP(AH26,'CODART PRODUCTO'!B:C,2,0)</f>
        <v>#N/A</v>
      </c>
      <c r="AK26" s="59" t="e">
        <f>VLOOKUP(AI26,'CODART ORIGEN'!B:C,2,0)</f>
        <v>#N/A</v>
      </c>
      <c r="AL26" s="59" t="e">
        <f>VLOOKUP(B26,'CODART RESPONSABLE'!B:C,2,0)</f>
        <v>#N/A</v>
      </c>
      <c r="AM26" s="60">
        <f>IF(ISERROR(UPPER(CONCATENATE($H$1,"-",AJ26,"-",AK26,"-",AL26))),"",UPPER(CONCATENATE($H$1,"-",AJ26,"-",AK26,"-",AL26)))</f>
      </c>
      <c r="AN26" s="61" t="str">
        <f>IF(AND(U26=U27,AQ26=AQ27),"VERIFICAR CANTIDADES COTIZADAS")</f>
        <v>VERIFICAR CANTIDADES COTIZADAS</v>
      </c>
      <c r="AO26" s="62">
        <f>IF(OR(ISERROR(AP26),AQ26&lt;&gt;0,ISERROR(AQ26)),AQ26,AP26)</f>
      </c>
      <c r="AP26" s="63">
        <f>IF(ISERROR(UPPER(CONCATENATE($H$1,"-",AJ26,"-",AK26,"-",AL26,A26))),"",UPPER(CONCATENATE($H$1,"-",AJ26,"-",AK26,"-",AL26,A26)))</f>
      </c>
      <c r="AQ26" s="63"/>
      <c r="AR26" s="63"/>
      <c r="AS26" s="63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</row>
    <row r="27" ht="71.25" customHeight="1" spans="1:57" x14ac:dyDescent="0.25">
      <c r="A27" s="42"/>
      <c r="B27" s="43"/>
      <c r="C27" s="44"/>
      <c r="D27" s="44"/>
      <c r="E27" s="44"/>
      <c r="F27" s="44"/>
      <c r="G27" s="46"/>
      <c r="H27" s="46"/>
      <c r="I27" s="44"/>
      <c r="J27" s="65"/>
      <c r="K27" s="47"/>
      <c r="L27" s="48"/>
      <c r="M27" s="49"/>
      <c r="N27" s="49"/>
      <c r="O27" s="50"/>
      <c r="P27" s="49"/>
      <c r="Q27" s="48"/>
      <c r="R27" s="48"/>
      <c r="S27" s="48"/>
      <c r="T27" s="48"/>
      <c r="U27" s="46"/>
      <c r="V27" s="67"/>
      <c r="W27" s="52"/>
      <c r="X27" s="53"/>
      <c r="Y27" s="53"/>
      <c r="Z27" s="53"/>
      <c r="AA27" s="53"/>
      <c r="AB27" s="54"/>
      <c r="AC27" s="54">
        <f>(+X27*Y27*Z27)/1000000</f>
        <v>0</v>
      </c>
      <c r="AD27" s="55" t="e">
        <f>U27/W27</f>
        <v>#DIV/0!</v>
      </c>
      <c r="AE27" s="56" t="e">
        <f>+AC27*AD27</f>
        <v>#DIV/0!</v>
      </c>
      <c r="AF27" s="55" t="e">
        <f>+AA27*AD27</f>
        <v>#DIV/0!</v>
      </c>
      <c r="AG27" s="57">
        <f>+(AC27*1000000)/5000</f>
        <v>0</v>
      </c>
      <c r="AH27" s="58"/>
      <c r="AI27" s="58"/>
      <c r="AJ27" s="59" t="e">
        <f>VLOOKUP(AH27,'CODART PRODUCTO'!B:C,2,0)</f>
        <v>#N/A</v>
      </c>
      <c r="AK27" s="59" t="e">
        <f>VLOOKUP(AI27,'CODART ORIGEN'!B:C,2,0)</f>
        <v>#N/A</v>
      </c>
      <c r="AL27" s="59" t="e">
        <f>VLOOKUP(B27,'CODART RESPONSABLE'!B:C,2,0)</f>
        <v>#N/A</v>
      </c>
      <c r="AM27" s="60">
        <f>IF(ISERROR(UPPER(CONCATENATE($H$1,"-",AJ27,"-",AK27,"-",AL27))),"",UPPER(CONCATENATE($H$1,"-",AJ27,"-",AK27,"-",AL27)))</f>
      </c>
      <c r="AN27" s="61" t="str">
        <f>IF(AND(U27=U28,AQ27=AQ28),"VERIFICAR CANTIDADES COTIZADAS")</f>
        <v>VERIFICAR CANTIDADES COTIZADAS</v>
      </c>
      <c r="AO27" s="62">
        <f>IF(OR(ISERROR(AP27),AQ27&lt;&gt;0,ISERROR(AQ27)),AQ27,AP27)</f>
      </c>
      <c r="AP27" s="63">
        <f>IF(ISERROR(UPPER(CONCATENATE($H$1,"-",AJ27,"-",AK27,"-",AL27,A27))),"",UPPER(CONCATENATE($H$1,"-",AJ27,"-",AK27,"-",AL27,A27)))</f>
      </c>
      <c r="AQ27" s="63"/>
      <c r="AR27" s="63"/>
      <c r="AS27" s="63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</row>
    <row r="28" ht="71.25" customHeight="1" spans="1:57" x14ac:dyDescent="0.25">
      <c r="A28" s="42"/>
      <c r="B28" s="43"/>
      <c r="C28" s="44"/>
      <c r="D28" s="44"/>
      <c r="E28" s="44"/>
      <c r="F28" s="44"/>
      <c r="G28" s="46"/>
      <c r="H28" s="46"/>
      <c r="I28" s="44"/>
      <c r="J28" s="65"/>
      <c r="K28" s="47"/>
      <c r="L28" s="48"/>
      <c r="M28" s="49"/>
      <c r="N28" s="49"/>
      <c r="O28" s="50"/>
      <c r="P28" s="49"/>
      <c r="Q28" s="48"/>
      <c r="R28" s="48"/>
      <c r="S28" s="48"/>
      <c r="T28" s="48"/>
      <c r="U28" s="46"/>
      <c r="V28" s="67"/>
      <c r="W28" s="52"/>
      <c r="X28" s="53"/>
      <c r="Y28" s="53"/>
      <c r="Z28" s="53"/>
      <c r="AA28" s="53"/>
      <c r="AB28" s="54"/>
      <c r="AC28" s="54">
        <f>(+X28*Y28*Z28)/1000000</f>
        <v>0</v>
      </c>
      <c r="AD28" s="55" t="e">
        <f>U28/W28</f>
        <v>#DIV/0!</v>
      </c>
      <c r="AE28" s="56" t="e">
        <f>+AC28*AD28</f>
        <v>#DIV/0!</v>
      </c>
      <c r="AF28" s="55" t="e">
        <f>+AA28*AD28</f>
        <v>#DIV/0!</v>
      </c>
      <c r="AG28" s="57">
        <f>+(AC28*1000000)/5000</f>
        <v>0</v>
      </c>
      <c r="AH28" s="58"/>
      <c r="AI28" s="58"/>
      <c r="AJ28" s="59" t="e">
        <f>VLOOKUP(AH28,'CODART PRODUCTO'!B:C,2,0)</f>
        <v>#N/A</v>
      </c>
      <c r="AK28" s="59" t="e">
        <f>VLOOKUP(AI28,'CODART ORIGEN'!B:C,2,0)</f>
        <v>#N/A</v>
      </c>
      <c r="AL28" s="59" t="e">
        <f>VLOOKUP(B28,'CODART RESPONSABLE'!B:C,2,0)</f>
        <v>#N/A</v>
      </c>
      <c r="AM28" s="60">
        <f>IF(ISERROR(UPPER(CONCATENATE($H$1,"-",AJ28,"-",AK28,"-",AL28))),"",UPPER(CONCATENATE($H$1,"-",AJ28,"-",AK28,"-",AL28)))</f>
      </c>
      <c r="AN28" s="61" t="str">
        <f>IF(AND(U28=U29,AQ28=AQ29),"VERIFICAR CANTIDADES COTIZADAS")</f>
        <v>VERIFICAR CANTIDADES COTIZADAS</v>
      </c>
      <c r="AO28" s="62">
        <f>IF(OR(ISERROR(AP28),AQ28&lt;&gt;0,ISERROR(AQ28)),AQ28,AP28)</f>
      </c>
      <c r="AP28" s="63">
        <f>IF(ISERROR(UPPER(CONCATENATE($H$1,"-",AJ28,"-",AK28,"-",AL28,A28))),"",UPPER(CONCATENATE($H$1,"-",AJ28,"-",AK28,"-",AL28,A28)))</f>
      </c>
      <c r="AQ28" s="63"/>
      <c r="AR28" s="63"/>
      <c r="AS28" s="63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</row>
    <row r="29" ht="71.25" customHeight="1" spans="1:57" x14ac:dyDescent="0.25">
      <c r="A29" s="42"/>
      <c r="B29" s="43"/>
      <c r="C29" s="44"/>
      <c r="D29" s="44"/>
      <c r="E29" s="44"/>
      <c r="F29" s="44"/>
      <c r="G29" s="46"/>
      <c r="H29" s="46"/>
      <c r="I29" s="44"/>
      <c r="J29" s="65"/>
      <c r="K29" s="47"/>
      <c r="L29" s="48"/>
      <c r="M29" s="49"/>
      <c r="N29" s="49"/>
      <c r="O29" s="50"/>
      <c r="P29" s="49"/>
      <c r="Q29" s="48"/>
      <c r="R29" s="48"/>
      <c r="S29" s="48"/>
      <c r="T29" s="48"/>
      <c r="U29" s="50"/>
      <c r="V29" s="51"/>
      <c r="W29" s="52"/>
      <c r="X29" s="53"/>
      <c r="Y29" s="53"/>
      <c r="Z29" s="53"/>
      <c r="AA29" s="53"/>
      <c r="AB29" s="54"/>
      <c r="AC29" s="54">
        <f>(+X29*Y29*Z29)/1000000</f>
        <v>0</v>
      </c>
      <c r="AD29" s="55" t="e">
        <f>U29/W29</f>
        <v>#DIV/0!</v>
      </c>
      <c r="AE29" s="56" t="e">
        <f>+AC29*AD29</f>
        <v>#DIV/0!</v>
      </c>
      <c r="AF29" s="55" t="e">
        <f>+AA29*AD29</f>
        <v>#DIV/0!</v>
      </c>
      <c r="AG29" s="57">
        <f>+(AC29*1000000)/5000</f>
        <v>0</v>
      </c>
      <c r="AH29" s="58"/>
      <c r="AI29" s="58"/>
      <c r="AJ29" s="59" t="e">
        <f>VLOOKUP(AH29,'CODART PRODUCTO'!B:C,2,0)</f>
        <v>#N/A</v>
      </c>
      <c r="AK29" s="59" t="e">
        <f>VLOOKUP(AI29,'CODART ORIGEN'!B:C,2,0)</f>
        <v>#N/A</v>
      </c>
      <c r="AL29" s="59" t="e">
        <f>VLOOKUP(B29,'CODART RESPONSABLE'!B:C,2,0)</f>
        <v>#N/A</v>
      </c>
      <c r="AM29" s="60">
        <f>IF(ISERROR(UPPER(CONCATENATE($H$1,"-",AJ29,"-",AK29,"-",AL29))),"",UPPER(CONCATENATE($H$1,"-",AJ29,"-",AK29,"-",AL29)))</f>
      </c>
      <c r="AN29" s="61" t="str">
        <f>IF(AND(U29=U30,AQ29=AQ30),"VERIFICAR CANTIDADES COTIZADAS")</f>
        <v>VERIFICAR CANTIDADES COTIZADAS</v>
      </c>
      <c r="AO29" s="62">
        <f>IF(OR(ISERROR(AP29),AQ29&lt;&gt;0,ISERROR(AQ29)),AQ29,AP29)</f>
      </c>
      <c r="AP29" s="63">
        <f>IF(ISERROR(UPPER(CONCATENATE($H$1,"-",AJ29,"-",AK29,"-",AL29,A29))),"",UPPER(CONCATENATE($H$1,"-",AJ29,"-",AK29,"-",AL29,A29)))</f>
      </c>
      <c r="AQ29" s="63"/>
      <c r="AR29" s="63"/>
      <c r="AS29" s="63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</row>
    <row r="30" ht="71.25" customHeight="1" spans="1:57" x14ac:dyDescent="0.25">
      <c r="A30" s="42"/>
      <c r="B30" s="43"/>
      <c r="C30" s="44"/>
      <c r="D30" s="44"/>
      <c r="E30" s="44"/>
      <c r="F30" s="44"/>
      <c r="G30" s="46"/>
      <c r="H30" s="46"/>
      <c r="I30" s="44"/>
      <c r="J30" s="65"/>
      <c r="K30" s="47"/>
      <c r="L30" s="48"/>
      <c r="M30" s="49"/>
      <c r="N30" s="49"/>
      <c r="O30" s="50"/>
      <c r="P30" s="49"/>
      <c r="Q30" s="48"/>
      <c r="R30" s="48"/>
      <c r="S30" s="48"/>
      <c r="T30" s="48"/>
      <c r="U30" s="50"/>
      <c r="V30" s="51"/>
      <c r="W30" s="52"/>
      <c r="X30" s="53"/>
      <c r="Y30" s="53"/>
      <c r="Z30" s="53"/>
      <c r="AA30" s="53"/>
      <c r="AB30" s="54"/>
      <c r="AC30" s="54">
        <f>(+X30*Y30*Z30)/1000000</f>
        <v>0</v>
      </c>
      <c r="AD30" s="55" t="e">
        <f>U30/W30</f>
        <v>#DIV/0!</v>
      </c>
      <c r="AE30" s="56" t="e">
        <f>+AC30*AD30</f>
        <v>#DIV/0!</v>
      </c>
      <c r="AF30" s="55" t="e">
        <f>+AA30*AD30</f>
        <v>#DIV/0!</v>
      </c>
      <c r="AG30" s="57">
        <f>+(AC30*1000000)/5000</f>
        <v>0</v>
      </c>
      <c r="AH30" s="58"/>
      <c r="AI30" s="58"/>
      <c r="AJ30" s="59" t="e">
        <f>VLOOKUP(AH30,'CODART PRODUCTO'!B:C,2,0)</f>
        <v>#N/A</v>
      </c>
      <c r="AK30" s="59" t="e">
        <f>VLOOKUP(AI30,'CODART ORIGEN'!B:C,2,0)</f>
        <v>#N/A</v>
      </c>
      <c r="AL30" s="59" t="e">
        <f>VLOOKUP(B30,'CODART RESPONSABLE'!B:C,2,0)</f>
        <v>#N/A</v>
      </c>
      <c r="AM30" s="60">
        <f>IF(ISERROR(UPPER(CONCATENATE($H$1,"-",AJ30,"-",AK30,"-",AL30))),"",UPPER(CONCATENATE($H$1,"-",AJ30,"-",AK30,"-",AL30)))</f>
      </c>
      <c r="AN30" s="61" t="str">
        <f>IF(AND(U30=U31,AQ30=AQ31),"VERIFICAR CANTIDADES COTIZADAS")</f>
        <v>VERIFICAR CANTIDADES COTIZADAS</v>
      </c>
      <c r="AO30" s="62">
        <f>IF(OR(ISERROR(AP30),AQ30&lt;&gt;0,ISERROR(AQ30)),AQ30,AP30)</f>
      </c>
      <c r="AP30" s="63">
        <f>IF(ISERROR(UPPER(CONCATENATE($H$1,"-",AJ30,"-",AK30,"-",AL30,A30))),"",UPPER(CONCATENATE($H$1,"-",AJ30,"-",AK30,"-",AL30,A30)))</f>
      </c>
      <c r="AQ30" s="63"/>
      <c r="AR30" s="63"/>
      <c r="AS30" s="63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</row>
    <row r="31" ht="71.25" customHeight="1" spans="1:57" x14ac:dyDescent="0.25">
      <c r="A31" s="42"/>
      <c r="B31" s="43"/>
      <c r="C31" s="44"/>
      <c r="D31" s="44"/>
      <c r="E31" s="44"/>
      <c r="F31" s="44"/>
      <c r="G31" s="46"/>
      <c r="H31" s="46"/>
      <c r="I31" s="44"/>
      <c r="J31" s="65"/>
      <c r="K31" s="47"/>
      <c r="L31" s="48"/>
      <c r="M31" s="49"/>
      <c r="N31" s="49"/>
      <c r="O31" s="50"/>
      <c r="P31" s="49"/>
      <c r="Q31" s="48"/>
      <c r="R31" s="48"/>
      <c r="S31" s="48"/>
      <c r="T31" s="48"/>
      <c r="U31" s="50"/>
      <c r="V31" s="51"/>
      <c r="W31" s="52"/>
      <c r="X31" s="53"/>
      <c r="Y31" s="53"/>
      <c r="Z31" s="53"/>
      <c r="AA31" s="53"/>
      <c r="AB31" s="54"/>
      <c r="AC31" s="54">
        <f>(+X31*Y31*Z31)/1000000</f>
        <v>0</v>
      </c>
      <c r="AD31" s="55" t="e">
        <f>U31/W31</f>
        <v>#DIV/0!</v>
      </c>
      <c r="AE31" s="56" t="e">
        <f>+AC31*AD31</f>
        <v>#DIV/0!</v>
      </c>
      <c r="AF31" s="55" t="e">
        <f>+AA31*AD31</f>
        <v>#DIV/0!</v>
      </c>
      <c r="AG31" s="57">
        <f>+(AC31*1000000)/5000</f>
        <v>0</v>
      </c>
      <c r="AH31" s="58"/>
      <c r="AI31" s="58"/>
      <c r="AJ31" s="59" t="e">
        <f>VLOOKUP(AH31,'CODART PRODUCTO'!B:C,2,0)</f>
        <v>#N/A</v>
      </c>
      <c r="AK31" s="59" t="e">
        <f>VLOOKUP(AI31,'CODART ORIGEN'!B:C,2,0)</f>
        <v>#N/A</v>
      </c>
      <c r="AL31" s="59" t="e">
        <f>VLOOKUP(B31,'CODART RESPONSABLE'!B:C,2,0)</f>
        <v>#N/A</v>
      </c>
      <c r="AM31" s="60">
        <f>IF(ISERROR(UPPER(CONCATENATE($H$1,"-",AJ31,"-",AK31,"-",AL31))),"",UPPER(CONCATENATE($H$1,"-",AJ31,"-",AK31,"-",AL31)))</f>
      </c>
      <c r="AN31" s="61" t="str">
        <f>IF(AND(U31=U32,AQ31=AQ32),"VERIFICAR CANTIDADES COTIZADAS")</f>
        <v>VERIFICAR CANTIDADES COTIZADAS</v>
      </c>
      <c r="AO31" s="62">
        <f>IF(OR(ISERROR(AP31),AQ31&lt;&gt;0,ISERROR(AQ31)),AQ31,AP31)</f>
      </c>
      <c r="AP31" s="63">
        <f>IF(ISERROR(UPPER(CONCATENATE($H$1,"-",AJ31,"-",AK31,"-",AL31,A31))),"",UPPER(CONCATENATE($H$1,"-",AJ31,"-",AK31,"-",AL31,A31)))</f>
      </c>
      <c r="AQ31" s="63"/>
      <c r="AR31" s="63"/>
      <c r="AS31" s="63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</row>
    <row r="32" ht="71.25" customHeight="1" spans="1:57" x14ac:dyDescent="0.25">
      <c r="A32" s="42"/>
      <c r="B32" s="43"/>
      <c r="C32" s="44"/>
      <c r="D32" s="44"/>
      <c r="E32" s="44"/>
      <c r="F32" s="44"/>
      <c r="G32" s="46"/>
      <c r="H32" s="46"/>
      <c r="I32" s="44"/>
      <c r="J32" s="65"/>
      <c r="K32" s="47"/>
      <c r="L32" s="48"/>
      <c r="M32" s="49"/>
      <c r="N32" s="49"/>
      <c r="O32" s="50"/>
      <c r="P32" s="49"/>
      <c r="Q32" s="48"/>
      <c r="R32" s="48"/>
      <c r="S32" s="48"/>
      <c r="T32" s="48"/>
      <c r="U32" s="50"/>
      <c r="V32" s="51"/>
      <c r="W32" s="52"/>
      <c r="X32" s="53"/>
      <c r="Y32" s="53"/>
      <c r="Z32" s="53"/>
      <c r="AA32" s="53"/>
      <c r="AB32" s="54"/>
      <c r="AC32" s="54">
        <f>(+X32*Y32*Z32)/1000000</f>
        <v>0</v>
      </c>
      <c r="AD32" s="55" t="e">
        <f>U32/W32</f>
        <v>#DIV/0!</v>
      </c>
      <c r="AE32" s="56" t="e">
        <f>+AC32*AD32</f>
        <v>#DIV/0!</v>
      </c>
      <c r="AF32" s="55" t="e">
        <f>+AA32*AD32</f>
        <v>#DIV/0!</v>
      </c>
      <c r="AG32" s="57">
        <f>+(AC32*1000000)/5000</f>
        <v>0</v>
      </c>
      <c r="AH32" s="58"/>
      <c r="AI32" s="58"/>
      <c r="AJ32" s="59" t="e">
        <f>VLOOKUP(AH32,'CODART PRODUCTO'!B:C,2,0)</f>
        <v>#N/A</v>
      </c>
      <c r="AK32" s="59" t="e">
        <f>VLOOKUP(AI32,'CODART ORIGEN'!B:C,2,0)</f>
        <v>#N/A</v>
      </c>
      <c r="AL32" s="59" t="e">
        <f>VLOOKUP(B32,'CODART RESPONSABLE'!B:C,2,0)</f>
        <v>#N/A</v>
      </c>
      <c r="AM32" s="60">
        <f>IF(ISERROR(UPPER(CONCATENATE($H$1,"-",AJ32,"-",AK32,"-",AL32))),"",UPPER(CONCATENATE($H$1,"-",AJ32,"-",AK32,"-",AL32)))</f>
      </c>
      <c r="AN32" s="61" t="str">
        <f>IF(AND(U32=U33,AQ32=AQ33),"VERIFICAR CANTIDADES COTIZADAS")</f>
        <v>VERIFICAR CANTIDADES COTIZADAS</v>
      </c>
      <c r="AO32" s="62">
        <f>IF(OR(ISERROR(AP32),AQ32&lt;&gt;0,ISERROR(AQ32)),AQ32,AP32)</f>
      </c>
      <c r="AP32" s="63">
        <f>IF(ISERROR(UPPER(CONCATENATE($H$1,"-",AJ32,"-",AK32,"-",AL32,A32))),"",UPPER(CONCATENATE($H$1,"-",AJ32,"-",AK32,"-",AL32,A32)))</f>
      </c>
      <c r="AQ32" s="63"/>
      <c r="AR32" s="63"/>
      <c r="AS32" s="63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</row>
    <row r="33" ht="71.25" customHeight="1" spans="1:57" x14ac:dyDescent="0.25">
      <c r="A33" s="42"/>
      <c r="B33" s="43"/>
      <c r="C33" s="44"/>
      <c r="D33" s="44"/>
      <c r="E33" s="44"/>
      <c r="F33" s="44"/>
      <c r="G33" s="46"/>
      <c r="H33" s="46"/>
      <c r="I33" s="44"/>
      <c r="J33" s="65"/>
      <c r="K33" s="47"/>
      <c r="L33" s="48"/>
      <c r="M33" s="49"/>
      <c r="N33" s="49"/>
      <c r="O33" s="50"/>
      <c r="P33" s="49"/>
      <c r="Q33" s="48"/>
      <c r="R33" s="48"/>
      <c r="S33" s="48"/>
      <c r="T33" s="48"/>
      <c r="U33" s="50"/>
      <c r="V33" s="51"/>
      <c r="W33" s="52"/>
      <c r="X33" s="53"/>
      <c r="Y33" s="53"/>
      <c r="Z33" s="53"/>
      <c r="AA33" s="53"/>
      <c r="AB33" s="54"/>
      <c r="AC33" s="54">
        <f>(+X33*Y33*Z33)/1000000</f>
        <v>0</v>
      </c>
      <c r="AD33" s="55" t="e">
        <f>U33/W33</f>
        <v>#DIV/0!</v>
      </c>
      <c r="AE33" s="56" t="e">
        <f>+AC33*AD33</f>
        <v>#DIV/0!</v>
      </c>
      <c r="AF33" s="55" t="e">
        <f>+AA33*AD33</f>
        <v>#DIV/0!</v>
      </c>
      <c r="AG33" s="57">
        <f>+(AC33*1000000)/5000</f>
        <v>0</v>
      </c>
      <c r="AH33" s="58"/>
      <c r="AI33" s="58"/>
      <c r="AJ33" s="59" t="e">
        <f>VLOOKUP(AH33,'CODART PRODUCTO'!B:C,2,0)</f>
        <v>#N/A</v>
      </c>
      <c r="AK33" s="59" t="e">
        <f>VLOOKUP(AI33,'CODART ORIGEN'!B:C,2,0)</f>
        <v>#N/A</v>
      </c>
      <c r="AL33" s="59" t="e">
        <f>VLOOKUP(B33,'CODART RESPONSABLE'!B:C,2,0)</f>
        <v>#N/A</v>
      </c>
      <c r="AM33" s="60">
        <f>IF(ISERROR(UPPER(CONCATENATE($H$1,"-",AJ33,"-",AK33,"-",AL33))),"",UPPER(CONCATENATE($H$1,"-",AJ33,"-",AK33,"-",AL33)))</f>
      </c>
      <c r="AN33" s="61" t="str">
        <f>IF(AND(U33=U34,AQ33=AQ34),"VERIFICAR CANTIDADES COTIZADAS")</f>
        <v>VERIFICAR CANTIDADES COTIZADAS</v>
      </c>
      <c r="AO33" s="62">
        <f>IF(OR(ISERROR(AP33),AQ33&lt;&gt;0,ISERROR(AQ33)),AQ33,AP33)</f>
      </c>
      <c r="AP33" s="63">
        <f>IF(ISERROR(UPPER(CONCATENATE($H$1,"-",AJ33,"-",AK33,"-",AL33,A33))),"",UPPER(CONCATENATE($H$1,"-",AJ33,"-",AK33,"-",AL33,A33)))</f>
      </c>
      <c r="AQ33" s="63"/>
      <c r="AR33" s="63"/>
      <c r="AS33" s="63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</row>
    <row r="34" ht="71.25" customHeight="1" spans="1:57" x14ac:dyDescent="0.25">
      <c r="A34" s="42"/>
      <c r="B34" s="43"/>
      <c r="C34" s="44"/>
      <c r="D34" s="44"/>
      <c r="E34" s="44"/>
      <c r="F34" s="44"/>
      <c r="G34" s="46"/>
      <c r="H34" s="46"/>
      <c r="I34" s="44"/>
      <c r="J34" s="65"/>
      <c r="K34" s="47"/>
      <c r="L34" s="48"/>
      <c r="M34" s="49"/>
      <c r="N34" s="49"/>
      <c r="O34" s="50"/>
      <c r="P34" s="49"/>
      <c r="Q34" s="48"/>
      <c r="R34" s="48"/>
      <c r="S34" s="48"/>
      <c r="T34" s="48"/>
      <c r="U34" s="50"/>
      <c r="V34" s="51"/>
      <c r="W34" s="52"/>
      <c r="X34" s="53"/>
      <c r="Y34" s="53"/>
      <c r="Z34" s="53"/>
      <c r="AA34" s="53"/>
      <c r="AB34" s="54"/>
      <c r="AC34" s="54">
        <f>(+X34*Y34*Z34)/1000000</f>
        <v>0</v>
      </c>
      <c r="AD34" s="55" t="e">
        <f>U34/W34</f>
        <v>#DIV/0!</v>
      </c>
      <c r="AE34" s="56" t="e">
        <f>+AC34*AD34</f>
        <v>#DIV/0!</v>
      </c>
      <c r="AF34" s="55" t="e">
        <f>+AA34*AD34</f>
        <v>#DIV/0!</v>
      </c>
      <c r="AG34" s="57">
        <f>+(AC34*1000000)/5000</f>
        <v>0</v>
      </c>
      <c r="AH34" s="58"/>
      <c r="AI34" s="58"/>
      <c r="AJ34" s="59" t="e">
        <f>VLOOKUP(AH34,'CODART PRODUCTO'!B:C,2,0)</f>
        <v>#N/A</v>
      </c>
      <c r="AK34" s="59" t="e">
        <f>VLOOKUP(AI34,'CODART ORIGEN'!B:C,2,0)</f>
        <v>#N/A</v>
      </c>
      <c r="AL34" s="59" t="e">
        <f>VLOOKUP(B34,'CODART RESPONSABLE'!B:C,2,0)</f>
        <v>#N/A</v>
      </c>
      <c r="AM34" s="60">
        <f>IF(ISERROR(UPPER(CONCATENATE($H$1,"-",AJ34,"-",AK34,"-",AL34))),"",UPPER(CONCATENATE($H$1,"-",AJ34,"-",AK34,"-",AL34)))</f>
      </c>
      <c r="AN34" s="61" t="str">
        <f>IF(AND(U34=U35,AQ34=AQ35),"VERIFICAR CANTIDADES COTIZADAS")</f>
        <v>VERIFICAR CANTIDADES COTIZADAS</v>
      </c>
      <c r="AO34" s="62">
        <f>IF(OR(ISERROR(AP34),AQ34&lt;&gt;0,ISERROR(AQ34)),AQ34,AP34)</f>
      </c>
      <c r="AP34" s="63">
        <f>IF(ISERROR(UPPER(CONCATENATE($H$1,"-",AJ34,"-",AK34,"-",AL34,A34))),"",UPPER(CONCATENATE($H$1,"-",AJ34,"-",AK34,"-",AL34,A34)))</f>
      </c>
      <c r="AQ34" s="63"/>
      <c r="AR34" s="63"/>
      <c r="AS34" s="63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</row>
    <row r="35" ht="71.25" customHeight="1" spans="1:57" x14ac:dyDescent="0.25">
      <c r="A35" s="42"/>
      <c r="B35" s="43"/>
      <c r="C35" s="44"/>
      <c r="D35" s="44"/>
      <c r="E35" s="44"/>
      <c r="F35" s="44"/>
      <c r="G35" s="46"/>
      <c r="H35" s="46"/>
      <c r="I35" s="44"/>
      <c r="J35" s="65"/>
      <c r="K35" s="47"/>
      <c r="L35" s="48"/>
      <c r="M35" s="49"/>
      <c r="N35" s="49"/>
      <c r="O35" s="50"/>
      <c r="P35" s="49"/>
      <c r="Q35" s="48"/>
      <c r="R35" s="48"/>
      <c r="S35" s="48"/>
      <c r="T35" s="48"/>
      <c r="U35" s="50"/>
      <c r="V35" s="51"/>
      <c r="W35" s="52"/>
      <c r="X35" s="53"/>
      <c r="Y35" s="53"/>
      <c r="Z35" s="53"/>
      <c r="AA35" s="53"/>
      <c r="AB35" s="54"/>
      <c r="AC35" s="54">
        <f>(+X35*Y35*Z35)/1000000</f>
        <v>0</v>
      </c>
      <c r="AD35" s="55" t="e">
        <f>U35/W35</f>
        <v>#DIV/0!</v>
      </c>
      <c r="AE35" s="56" t="e">
        <f>+AC35*AD35</f>
        <v>#DIV/0!</v>
      </c>
      <c r="AF35" s="55" t="e">
        <f>+AA35*AD35</f>
        <v>#DIV/0!</v>
      </c>
      <c r="AG35" s="57">
        <f>+(AC35*1000000)/5000</f>
        <v>0</v>
      </c>
      <c r="AH35" s="58"/>
      <c r="AI35" s="58"/>
      <c r="AJ35" s="59" t="e">
        <f>VLOOKUP(AH35,'CODART PRODUCTO'!B:C,2,0)</f>
        <v>#N/A</v>
      </c>
      <c r="AK35" s="59" t="e">
        <f>VLOOKUP(AI35,'CODART ORIGEN'!B:C,2,0)</f>
        <v>#N/A</v>
      </c>
      <c r="AL35" s="59" t="e">
        <f>VLOOKUP(B35,'CODART RESPONSABLE'!B:C,2,0)</f>
        <v>#N/A</v>
      </c>
      <c r="AM35" s="60">
        <f>IF(ISERROR(UPPER(CONCATENATE($H$1,"-",AJ35,"-",AK35,"-",AL35))),"",UPPER(CONCATENATE($H$1,"-",AJ35,"-",AK35,"-",AL35)))</f>
      </c>
      <c r="AN35" s="61" t="str">
        <f>IF(AND(U35=U36,AQ35=AQ36),"VERIFICAR CANTIDADES COTIZADAS")</f>
        <v>VERIFICAR CANTIDADES COTIZADAS</v>
      </c>
      <c r="AO35" s="62">
        <f>IF(OR(ISERROR(AP35),AQ35&lt;&gt;0,ISERROR(AQ35)),AQ35,AP35)</f>
      </c>
      <c r="AP35" s="63">
        <f>IF(ISERROR(UPPER(CONCATENATE($H$1,"-",AJ35,"-",AK35,"-",AL35,A35))),"",UPPER(CONCATENATE($H$1,"-",AJ35,"-",AK35,"-",AL35,A35)))</f>
      </c>
      <c r="AQ35" s="63"/>
      <c r="AR35" s="63"/>
      <c r="AS35" s="63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</row>
    <row r="36" ht="71.25" customHeight="1" spans="1:57" x14ac:dyDescent="0.25">
      <c r="A36" s="42"/>
      <c r="B36" s="43"/>
      <c r="C36" s="44"/>
      <c r="D36" s="44"/>
      <c r="E36" s="44"/>
      <c r="F36" s="44"/>
      <c r="G36" s="46"/>
      <c r="H36" s="46"/>
      <c r="I36" s="44"/>
      <c r="J36" s="65"/>
      <c r="K36" s="47"/>
      <c r="L36" s="48"/>
      <c r="M36" s="49"/>
      <c r="N36" s="49"/>
      <c r="O36" s="50"/>
      <c r="P36" s="49"/>
      <c r="Q36" s="48"/>
      <c r="R36" s="48"/>
      <c r="S36" s="48"/>
      <c r="T36" s="48"/>
      <c r="U36" s="50"/>
      <c r="V36" s="51"/>
      <c r="W36" s="52"/>
      <c r="X36" s="53"/>
      <c r="Y36" s="53"/>
      <c r="Z36" s="53"/>
      <c r="AA36" s="53"/>
      <c r="AB36" s="54"/>
      <c r="AC36" s="54">
        <f>(+X36*Y36*Z36)/1000000</f>
        <v>0</v>
      </c>
      <c r="AD36" s="55" t="e">
        <f>U36/W36</f>
        <v>#DIV/0!</v>
      </c>
      <c r="AE36" s="56" t="e">
        <f>+AC36*AD36</f>
        <v>#DIV/0!</v>
      </c>
      <c r="AF36" s="55" t="e">
        <f>+AA36*AD36</f>
        <v>#DIV/0!</v>
      </c>
      <c r="AG36" s="57">
        <f>+(AC36*1000000)/5000</f>
        <v>0</v>
      </c>
      <c r="AH36" s="58"/>
      <c r="AI36" s="58"/>
      <c r="AJ36" s="59" t="e">
        <f>VLOOKUP(AH36,'CODART PRODUCTO'!B:C,2,0)</f>
        <v>#N/A</v>
      </c>
      <c r="AK36" s="59" t="e">
        <f>VLOOKUP(AI36,'CODART ORIGEN'!B:C,2,0)</f>
        <v>#N/A</v>
      </c>
      <c r="AL36" s="59" t="e">
        <f>VLOOKUP(B36,'CODART RESPONSABLE'!B:C,2,0)</f>
        <v>#N/A</v>
      </c>
      <c r="AM36" s="60">
        <f>IF(ISERROR(UPPER(CONCATENATE($H$1,"-",AJ36,"-",AK36,"-",AL36))),"",UPPER(CONCATENATE($H$1,"-",AJ36,"-",AK36,"-",AL36)))</f>
      </c>
      <c r="AN36" s="61" t="str">
        <f>IF(AND(U36=U37,AQ36=AQ37),"VERIFICAR CANTIDADES COTIZADAS")</f>
        <v>VERIFICAR CANTIDADES COTIZADAS</v>
      </c>
      <c r="AO36" s="62">
        <f>IF(OR(ISERROR(AP36),AQ36&lt;&gt;0,ISERROR(AQ36)),AQ36,AP36)</f>
      </c>
      <c r="AP36" s="63">
        <f>IF(ISERROR(UPPER(CONCATENATE($H$1,"-",AJ36,"-",AK36,"-",AL36,A36))),"",UPPER(CONCATENATE($H$1,"-",AJ36,"-",AK36,"-",AL36,A36)))</f>
      </c>
      <c r="AQ36" s="63"/>
      <c r="AR36" s="63"/>
      <c r="AS36" s="63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</row>
    <row r="37" ht="71.25" customHeight="1" spans="1:57" x14ac:dyDescent="0.25">
      <c r="A37" s="42"/>
      <c r="B37" s="43"/>
      <c r="C37" s="44"/>
      <c r="D37" s="44"/>
      <c r="E37" s="44"/>
      <c r="F37" s="44"/>
      <c r="G37" s="46"/>
      <c r="H37" s="46"/>
      <c r="I37" s="44"/>
      <c r="J37" s="65"/>
      <c r="K37" s="47"/>
      <c r="L37" s="48"/>
      <c r="M37" s="49"/>
      <c r="N37" s="49"/>
      <c r="O37" s="50"/>
      <c r="P37" s="49"/>
      <c r="Q37" s="48"/>
      <c r="R37" s="48"/>
      <c r="S37" s="48"/>
      <c r="T37" s="48"/>
      <c r="U37" s="50"/>
      <c r="V37" s="51"/>
      <c r="W37" s="52"/>
      <c r="X37" s="53"/>
      <c r="Y37" s="53"/>
      <c r="Z37" s="53"/>
      <c r="AA37" s="53"/>
      <c r="AB37" s="54"/>
      <c r="AC37" s="54">
        <f>(+X37*Y37*Z37)/1000000</f>
        <v>0</v>
      </c>
      <c r="AD37" s="55" t="e">
        <f>U37/W37</f>
        <v>#DIV/0!</v>
      </c>
      <c r="AE37" s="56" t="e">
        <f>+AC37*AD37</f>
        <v>#DIV/0!</v>
      </c>
      <c r="AF37" s="55" t="e">
        <f>+AA37*AD37</f>
        <v>#DIV/0!</v>
      </c>
      <c r="AG37" s="57">
        <f>+(AC37*1000000)/5000</f>
        <v>0</v>
      </c>
      <c r="AH37" s="58"/>
      <c r="AI37" s="58"/>
      <c r="AJ37" s="59" t="e">
        <f>VLOOKUP(AH37,'CODART PRODUCTO'!B:C,2,0)</f>
        <v>#N/A</v>
      </c>
      <c r="AK37" s="59" t="e">
        <f>VLOOKUP(AI37,'CODART ORIGEN'!B:C,2,0)</f>
        <v>#N/A</v>
      </c>
      <c r="AL37" s="59" t="e">
        <f>VLOOKUP(B37,'CODART RESPONSABLE'!B:C,2,0)</f>
        <v>#N/A</v>
      </c>
      <c r="AM37" s="60">
        <f>IF(ISERROR(UPPER(CONCATENATE($H$1,"-",AJ37,"-",AK37,"-",AL37))),"",UPPER(CONCATENATE($H$1,"-",AJ37,"-",AK37,"-",AL37)))</f>
      </c>
      <c r="AN37" s="61" t="str">
        <f>IF(AND(U37=U38,AQ37=AQ38),"VERIFICAR CANTIDADES COTIZADAS")</f>
        <v>VERIFICAR CANTIDADES COTIZADAS</v>
      </c>
      <c r="AO37" s="62">
        <f>IF(OR(ISERROR(AP37),AQ37&lt;&gt;0,ISERROR(AQ37)),AQ37,AP37)</f>
      </c>
      <c r="AP37" s="63">
        <f>IF(ISERROR(UPPER(CONCATENATE($H$1,"-",AJ37,"-",AK37,"-",AL37,A37))),"",UPPER(CONCATENATE($H$1,"-",AJ37,"-",AK37,"-",AL37,A37)))</f>
      </c>
      <c r="AQ37" s="63"/>
      <c r="AR37" s="63"/>
      <c r="AS37" s="63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</row>
    <row r="38" ht="71.25" customHeight="1" spans="1:57" x14ac:dyDescent="0.25">
      <c r="A38" s="42"/>
      <c r="B38" s="43"/>
      <c r="C38" s="44"/>
      <c r="D38" s="44"/>
      <c r="E38" s="44"/>
      <c r="F38" s="44"/>
      <c r="G38" s="46"/>
      <c r="H38" s="46"/>
      <c r="I38" s="44"/>
      <c r="J38" s="65"/>
      <c r="K38" s="47"/>
      <c r="L38" s="48"/>
      <c r="M38" s="49"/>
      <c r="N38" s="49"/>
      <c r="O38" s="50"/>
      <c r="P38" s="49"/>
      <c r="Q38" s="48"/>
      <c r="R38" s="48"/>
      <c r="S38" s="48"/>
      <c r="T38" s="48"/>
      <c r="U38" s="50"/>
      <c r="V38" s="51"/>
      <c r="W38" s="52"/>
      <c r="X38" s="53"/>
      <c r="Y38" s="53"/>
      <c r="Z38" s="53"/>
      <c r="AA38" s="53"/>
      <c r="AB38" s="54"/>
      <c r="AC38" s="54">
        <f>(+X38*Y38*Z38)/1000000</f>
        <v>0</v>
      </c>
      <c r="AD38" s="55" t="e">
        <f>U38/W38</f>
        <v>#DIV/0!</v>
      </c>
      <c r="AE38" s="56" t="e">
        <f>+AC38*AD38</f>
        <v>#DIV/0!</v>
      </c>
      <c r="AF38" s="55" t="e">
        <f>+AA38*AD38</f>
        <v>#DIV/0!</v>
      </c>
      <c r="AG38" s="57">
        <f>+(AC38*1000000)/5000</f>
        <v>0</v>
      </c>
      <c r="AH38" s="58"/>
      <c r="AI38" s="58"/>
      <c r="AJ38" s="59" t="e">
        <f>VLOOKUP(AH38,'CODART PRODUCTO'!B:C,2,0)</f>
        <v>#N/A</v>
      </c>
      <c r="AK38" s="59" t="e">
        <f>VLOOKUP(AI38,'CODART ORIGEN'!B:C,2,0)</f>
        <v>#N/A</v>
      </c>
      <c r="AL38" s="59" t="e">
        <f>VLOOKUP(B38,'CODART RESPONSABLE'!B:C,2,0)</f>
        <v>#N/A</v>
      </c>
      <c r="AM38" s="60">
        <f>IF(ISERROR(UPPER(CONCATENATE($H$1,"-",AJ38,"-",AK38,"-",AL38))),"",UPPER(CONCATENATE($H$1,"-",AJ38,"-",AK38,"-",AL38)))</f>
      </c>
      <c r="AN38" s="61" t="str">
        <f>IF(AND(U38=U39,AQ38=AQ39),"VERIFICAR CANTIDADES COTIZADAS")</f>
        <v>VERIFICAR CANTIDADES COTIZADAS</v>
      </c>
      <c r="AO38" s="62">
        <f>IF(OR(ISERROR(AP38),AQ38&lt;&gt;0,ISERROR(AQ38)),AQ38,AP38)</f>
      </c>
      <c r="AP38" s="63">
        <f>IF(ISERROR(UPPER(CONCATENATE($H$1,"-",AJ38,"-",AK38,"-",AL38,A38))),"",UPPER(CONCATENATE($H$1,"-",AJ38,"-",AK38,"-",AL38,A38)))</f>
      </c>
      <c r="AQ38" s="63"/>
      <c r="AR38" s="63"/>
      <c r="AS38" s="63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</row>
    <row r="39" ht="71.25" customHeight="1" spans="1:57" x14ac:dyDescent="0.25">
      <c r="A39" s="42"/>
      <c r="B39" s="43"/>
      <c r="C39" s="44"/>
      <c r="D39" s="44"/>
      <c r="E39" s="44"/>
      <c r="F39" s="44"/>
      <c r="G39" s="46"/>
      <c r="H39" s="46"/>
      <c r="I39" s="44"/>
      <c r="J39" s="65"/>
      <c r="K39" s="47"/>
      <c r="L39" s="48"/>
      <c r="M39" s="49"/>
      <c r="N39" s="49"/>
      <c r="O39" s="50"/>
      <c r="P39" s="49"/>
      <c r="Q39" s="48"/>
      <c r="R39" s="48"/>
      <c r="S39" s="48"/>
      <c r="T39" s="48"/>
      <c r="U39" s="50"/>
      <c r="V39" s="51"/>
      <c r="W39" s="52"/>
      <c r="X39" s="53"/>
      <c r="Y39" s="53"/>
      <c r="Z39" s="53"/>
      <c r="AA39" s="53"/>
      <c r="AB39" s="54"/>
      <c r="AC39" s="54">
        <f>(+X39*Y39*Z39)/1000000</f>
        <v>0</v>
      </c>
      <c r="AD39" s="55" t="e">
        <f>U39/W39</f>
        <v>#DIV/0!</v>
      </c>
      <c r="AE39" s="56" t="e">
        <f>+AC39*AD39</f>
        <v>#DIV/0!</v>
      </c>
      <c r="AF39" s="55" t="e">
        <f>+AA39*AD39</f>
        <v>#DIV/0!</v>
      </c>
      <c r="AG39" s="57">
        <f>+(AC39*1000000)/5000</f>
        <v>0</v>
      </c>
      <c r="AH39" s="58"/>
      <c r="AI39" s="58"/>
      <c r="AJ39" s="59" t="e">
        <f>VLOOKUP(AH39,'CODART PRODUCTO'!B:C,2,0)</f>
        <v>#N/A</v>
      </c>
      <c r="AK39" s="59" t="e">
        <f>VLOOKUP(AI39,'CODART ORIGEN'!B:C,2,0)</f>
        <v>#N/A</v>
      </c>
      <c r="AL39" s="59" t="e">
        <f>VLOOKUP(B39,'CODART RESPONSABLE'!B:C,2,0)</f>
        <v>#N/A</v>
      </c>
      <c r="AM39" s="60">
        <f>IF(ISERROR(UPPER(CONCATENATE($H$1,"-",AJ39,"-",AK39,"-",AL39))),"",UPPER(CONCATENATE($H$1,"-",AJ39,"-",AK39,"-",AL39)))</f>
      </c>
      <c r="AN39" s="61" t="str">
        <f>IF(AND(U39=U40,AQ39=AQ40),"VERIFICAR CANTIDADES COTIZADAS")</f>
        <v>VERIFICAR CANTIDADES COTIZADAS</v>
      </c>
      <c r="AO39" s="62">
        <f>IF(OR(ISERROR(AP39),AQ39&lt;&gt;0,ISERROR(AQ39)),AQ39,AP39)</f>
      </c>
      <c r="AP39" s="63">
        <f>IF(ISERROR(UPPER(CONCATENATE($H$1,"-",AJ39,"-",AK39,"-",AL39,A39))),"",UPPER(CONCATENATE($H$1,"-",AJ39,"-",AK39,"-",AL39,A39)))</f>
      </c>
      <c r="AQ39" s="63"/>
      <c r="AR39" s="63"/>
      <c r="AS39" s="63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</row>
    <row r="40" ht="71.25" customHeight="1" spans="1:57" x14ac:dyDescent="0.25">
      <c r="A40" s="42"/>
      <c r="B40" s="43"/>
      <c r="C40" s="44"/>
      <c r="D40" s="44"/>
      <c r="E40" s="44"/>
      <c r="F40" s="44"/>
      <c r="G40" s="46"/>
      <c r="H40" s="46"/>
      <c r="I40" s="44"/>
      <c r="J40" s="65"/>
      <c r="K40" s="47"/>
      <c r="L40" s="48"/>
      <c r="M40" s="49"/>
      <c r="N40" s="49"/>
      <c r="O40" s="50"/>
      <c r="P40" s="49"/>
      <c r="Q40" s="48"/>
      <c r="R40" s="48"/>
      <c r="S40" s="48"/>
      <c r="T40" s="48"/>
      <c r="U40" s="50"/>
      <c r="V40" s="51"/>
      <c r="W40" s="52"/>
      <c r="X40" s="53"/>
      <c r="Y40" s="53"/>
      <c r="Z40" s="53"/>
      <c r="AA40" s="53"/>
      <c r="AB40" s="54"/>
      <c r="AC40" s="54">
        <f>(+X40*Y40*Z40)/1000000</f>
        <v>0</v>
      </c>
      <c r="AD40" s="55" t="e">
        <f>U40/W40</f>
        <v>#DIV/0!</v>
      </c>
      <c r="AE40" s="56" t="e">
        <f>+AC40*AD40</f>
        <v>#DIV/0!</v>
      </c>
      <c r="AF40" s="55" t="e">
        <f>+AA40*AD40</f>
        <v>#DIV/0!</v>
      </c>
      <c r="AG40" s="57">
        <f>+(AC40*1000000)/5000</f>
        <v>0</v>
      </c>
      <c r="AH40" s="58"/>
      <c r="AI40" s="58"/>
      <c r="AJ40" s="59" t="e">
        <f>VLOOKUP(AH40,'CODART PRODUCTO'!B:C,2,0)</f>
        <v>#N/A</v>
      </c>
      <c r="AK40" s="59" t="e">
        <f>VLOOKUP(AI40,'CODART ORIGEN'!B:C,2,0)</f>
        <v>#N/A</v>
      </c>
      <c r="AL40" s="59" t="e">
        <f>VLOOKUP(B40,'CODART RESPONSABLE'!B:C,2,0)</f>
        <v>#N/A</v>
      </c>
      <c r="AM40" s="60">
        <f>IF(ISERROR(UPPER(CONCATENATE($H$1,"-",AJ40,"-",AK40,"-",AL40))),"",UPPER(CONCATENATE($H$1,"-",AJ40,"-",AK40,"-",AL40)))</f>
      </c>
      <c r="AN40" s="61" t="str">
        <f>IF(AND(U40=U41,AQ40=AQ41),"VERIFICAR CANTIDADES COTIZADAS")</f>
        <v>VERIFICAR CANTIDADES COTIZADAS</v>
      </c>
      <c r="AO40" s="62">
        <f>IF(OR(ISERROR(AP40),AQ40&lt;&gt;0,ISERROR(AQ40)),AQ40,AP40)</f>
      </c>
      <c r="AP40" s="63">
        <f>IF(ISERROR(UPPER(CONCATENATE($H$1,"-",AJ40,"-",AK40,"-",AL40,A40))),"",UPPER(CONCATENATE($H$1,"-",AJ40,"-",AK40,"-",AL40,A40)))</f>
      </c>
      <c r="AQ40" s="63"/>
      <c r="AR40" s="63"/>
      <c r="AS40" s="63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</row>
    <row r="41" ht="71.25" customHeight="1" spans="1:57" x14ac:dyDescent="0.25">
      <c r="A41" s="42"/>
      <c r="B41" s="43"/>
      <c r="C41" s="44"/>
      <c r="D41" s="44"/>
      <c r="E41" s="44"/>
      <c r="F41" s="44"/>
      <c r="G41" s="46"/>
      <c r="H41" s="46"/>
      <c r="I41" s="44"/>
      <c r="J41" s="65"/>
      <c r="K41" s="47"/>
      <c r="L41" s="48"/>
      <c r="M41" s="49"/>
      <c r="N41" s="49"/>
      <c r="O41" s="50"/>
      <c r="P41" s="49"/>
      <c r="Q41" s="48"/>
      <c r="R41" s="48"/>
      <c r="S41" s="48"/>
      <c r="T41" s="48"/>
      <c r="U41" s="50"/>
      <c r="V41" s="51"/>
      <c r="W41" s="52"/>
      <c r="X41" s="53"/>
      <c r="Y41" s="53"/>
      <c r="Z41" s="53"/>
      <c r="AA41" s="53"/>
      <c r="AB41" s="54"/>
      <c r="AC41" s="54">
        <f>(+X41*Y41*Z41)/1000000</f>
        <v>0</v>
      </c>
      <c r="AD41" s="55" t="e">
        <f>U41/W41</f>
        <v>#DIV/0!</v>
      </c>
      <c r="AE41" s="56" t="e">
        <f>+AC41*AD41</f>
        <v>#DIV/0!</v>
      </c>
      <c r="AF41" s="55" t="e">
        <f>+AA41*AD41</f>
        <v>#DIV/0!</v>
      </c>
      <c r="AG41" s="57">
        <f>+(AC41*1000000)/5000</f>
        <v>0</v>
      </c>
      <c r="AH41" s="58"/>
      <c r="AI41" s="58"/>
      <c r="AJ41" s="59" t="e">
        <f>VLOOKUP(AH41,'CODART PRODUCTO'!B:C,2,0)</f>
        <v>#N/A</v>
      </c>
      <c r="AK41" s="59" t="e">
        <f>VLOOKUP(AI41,'CODART ORIGEN'!B:C,2,0)</f>
        <v>#N/A</v>
      </c>
      <c r="AL41" s="59" t="e">
        <f>VLOOKUP(B41,'CODART RESPONSABLE'!B:C,2,0)</f>
        <v>#N/A</v>
      </c>
      <c r="AM41" s="60">
        <f>IF(ISERROR(UPPER(CONCATENATE($H$1,"-",AJ41,"-",AK41,"-",AL41))),"",UPPER(CONCATENATE($H$1,"-",AJ41,"-",AK41,"-",AL41)))</f>
      </c>
      <c r="AN41" s="61" t="str">
        <f>IF(AND(U41=U42,AQ41=AQ42),"VERIFICAR CANTIDADES COTIZADAS")</f>
        <v>VERIFICAR CANTIDADES COTIZADAS</v>
      </c>
      <c r="AO41" s="62">
        <f>IF(OR(ISERROR(AP41),AQ41&lt;&gt;0,ISERROR(AQ41)),AQ41,AP41)</f>
      </c>
      <c r="AP41" s="63">
        <f>IF(ISERROR(UPPER(CONCATENATE($H$1,"-",AJ41,"-",AK41,"-",AL41,A41))),"",UPPER(CONCATENATE($H$1,"-",AJ41,"-",AK41,"-",AL41,A41)))</f>
      </c>
      <c r="AQ41" s="63"/>
      <c r="AR41" s="63"/>
      <c r="AS41" s="63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</row>
    <row r="42" ht="71.25" customHeight="1" spans="1:57" x14ac:dyDescent="0.25">
      <c r="A42" s="42"/>
      <c r="B42" s="43"/>
      <c r="C42" s="44"/>
      <c r="D42" s="44"/>
      <c r="E42" s="44"/>
      <c r="F42" s="44"/>
      <c r="G42" s="46"/>
      <c r="H42" s="46"/>
      <c r="I42" s="44"/>
      <c r="J42" s="65"/>
      <c r="K42" s="47"/>
      <c r="L42" s="48"/>
      <c r="M42" s="49"/>
      <c r="N42" s="49"/>
      <c r="O42" s="50"/>
      <c r="P42" s="49"/>
      <c r="Q42" s="48"/>
      <c r="R42" s="48"/>
      <c r="S42" s="48"/>
      <c r="T42" s="48"/>
      <c r="U42" s="50"/>
      <c r="V42" s="51"/>
      <c r="W42" s="52"/>
      <c r="X42" s="53"/>
      <c r="Y42" s="53"/>
      <c r="Z42" s="53"/>
      <c r="AA42" s="53"/>
      <c r="AB42" s="54"/>
      <c r="AC42" s="54">
        <f>(+X42*Y42*Z42)/1000000</f>
        <v>0</v>
      </c>
      <c r="AD42" s="55" t="e">
        <f>U42/W42</f>
        <v>#DIV/0!</v>
      </c>
      <c r="AE42" s="56" t="e">
        <f>+AC42*AD42</f>
        <v>#DIV/0!</v>
      </c>
      <c r="AF42" s="55" t="e">
        <f>+AA42*AD42</f>
        <v>#DIV/0!</v>
      </c>
      <c r="AG42" s="57">
        <f>+(AC42*1000000)/5000</f>
        <v>0</v>
      </c>
      <c r="AH42" s="58"/>
      <c r="AI42" s="58"/>
      <c r="AJ42" s="59" t="e">
        <f>VLOOKUP(AH42,'CODART PRODUCTO'!B:C,2,0)</f>
        <v>#N/A</v>
      </c>
      <c r="AK42" s="59" t="e">
        <f>VLOOKUP(AI42,'CODART ORIGEN'!B:C,2,0)</f>
        <v>#N/A</v>
      </c>
      <c r="AL42" s="59" t="e">
        <f>VLOOKUP(B42,'CODART RESPONSABLE'!B:C,2,0)</f>
        <v>#N/A</v>
      </c>
      <c r="AM42" s="60">
        <f>IF(ISERROR(UPPER(CONCATENATE($H$1,"-",AJ42,"-",AK42,"-",AL42))),"",UPPER(CONCATENATE($H$1,"-",AJ42,"-",AK42,"-",AL42)))</f>
      </c>
      <c r="AN42" s="61" t="str">
        <f>IF(AND(U42=U43,AQ42=AQ43),"VERIFICAR CANTIDADES COTIZADAS")</f>
        <v>VERIFICAR CANTIDADES COTIZADAS</v>
      </c>
      <c r="AO42" s="62">
        <f>IF(OR(ISERROR(AP42),AQ42&lt;&gt;0,ISERROR(AQ42)),AQ42,AP42)</f>
      </c>
      <c r="AP42" s="63">
        <f>IF(ISERROR(UPPER(CONCATENATE($H$1,"-",AJ42,"-",AK42,"-",AL42,A42))),"",UPPER(CONCATENATE($H$1,"-",AJ42,"-",AK42,"-",AL42,A42)))</f>
      </c>
      <c r="AQ42" s="63"/>
      <c r="AR42" s="63"/>
      <c r="AS42" s="63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</row>
    <row r="43" ht="71.25" customHeight="1" spans="1:57" x14ac:dyDescent="0.25">
      <c r="A43" s="42"/>
      <c r="B43" s="43"/>
      <c r="C43" s="44"/>
      <c r="D43" s="44"/>
      <c r="E43" s="44"/>
      <c r="F43" s="44"/>
      <c r="G43" s="46"/>
      <c r="H43" s="46"/>
      <c r="I43" s="44"/>
      <c r="J43" s="65"/>
      <c r="K43" s="47"/>
      <c r="L43" s="48"/>
      <c r="M43" s="49"/>
      <c r="N43" s="49"/>
      <c r="O43" s="50"/>
      <c r="P43" s="49"/>
      <c r="Q43" s="48"/>
      <c r="R43" s="48"/>
      <c r="S43" s="48"/>
      <c r="T43" s="48"/>
      <c r="U43" s="50"/>
      <c r="V43" s="51"/>
      <c r="W43" s="52"/>
      <c r="X43" s="53"/>
      <c r="Y43" s="53"/>
      <c r="Z43" s="53"/>
      <c r="AA43" s="53"/>
      <c r="AB43" s="54"/>
      <c r="AC43" s="54">
        <f>(+X43*Y43*Z43)/1000000</f>
        <v>0</v>
      </c>
      <c r="AD43" s="55" t="e">
        <f>U43/W43</f>
        <v>#DIV/0!</v>
      </c>
      <c r="AE43" s="56" t="e">
        <f>+AC43*AD43</f>
        <v>#DIV/0!</v>
      </c>
      <c r="AF43" s="55" t="e">
        <f>+AA43*AD43</f>
        <v>#DIV/0!</v>
      </c>
      <c r="AG43" s="57">
        <f>+(AC43*1000000)/5000</f>
        <v>0</v>
      </c>
      <c r="AH43" s="58"/>
      <c r="AI43" s="58"/>
      <c r="AJ43" s="59" t="e">
        <f>VLOOKUP(AH43,'CODART PRODUCTO'!B:C,2,0)</f>
        <v>#N/A</v>
      </c>
      <c r="AK43" s="59" t="e">
        <f>VLOOKUP(AI43,'CODART ORIGEN'!B:C,2,0)</f>
        <v>#N/A</v>
      </c>
      <c r="AL43" s="59" t="e">
        <f>VLOOKUP(B43,'CODART RESPONSABLE'!B:C,2,0)</f>
        <v>#N/A</v>
      </c>
      <c r="AM43" s="60">
        <f>IF(ISERROR(UPPER(CONCATENATE($H$1,"-",AJ43,"-",AK43,"-",AL43))),"",UPPER(CONCATENATE($H$1,"-",AJ43,"-",AK43,"-",AL43)))</f>
      </c>
      <c r="AN43" s="61" t="str">
        <f>IF(AND(U43=U44,AQ43=AQ44),"VERIFICAR CANTIDADES COTIZADAS")</f>
        <v>VERIFICAR CANTIDADES COTIZADAS</v>
      </c>
      <c r="AO43" s="62">
        <f>IF(OR(ISERROR(AP43),AQ43&lt;&gt;0,ISERROR(AQ43)),AQ43,AP43)</f>
      </c>
      <c r="AP43" s="63">
        <f>IF(ISERROR(UPPER(CONCATENATE($H$1,"-",AJ43,"-",AK43,"-",AL43,A43))),"",UPPER(CONCATENATE($H$1,"-",AJ43,"-",AK43,"-",AL43,A43)))</f>
      </c>
      <c r="AQ43" s="63"/>
      <c r="AR43" s="63"/>
      <c r="AS43" s="63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</row>
    <row r="44" ht="71.25" customHeight="1" spans="1:57" x14ac:dyDescent="0.25">
      <c r="A44" s="42"/>
      <c r="B44" s="43"/>
      <c r="C44" s="44"/>
      <c r="D44" s="44"/>
      <c r="E44" s="44"/>
      <c r="F44" s="44"/>
      <c r="G44" s="46"/>
      <c r="H44" s="46"/>
      <c r="I44" s="44"/>
      <c r="J44" s="65"/>
      <c r="K44" s="47"/>
      <c r="L44" s="48"/>
      <c r="M44" s="49"/>
      <c r="N44" s="49"/>
      <c r="O44" s="50"/>
      <c r="P44" s="49"/>
      <c r="Q44" s="48"/>
      <c r="R44" s="48"/>
      <c r="S44" s="48"/>
      <c r="T44" s="48"/>
      <c r="U44" s="50"/>
      <c r="V44" s="51"/>
      <c r="W44" s="52"/>
      <c r="X44" s="53"/>
      <c r="Y44" s="53"/>
      <c r="Z44" s="53"/>
      <c r="AA44" s="53"/>
      <c r="AB44" s="54"/>
      <c r="AC44" s="54">
        <f>(+X44*Y44*Z44)/1000000</f>
        <v>0</v>
      </c>
      <c r="AD44" s="55" t="e">
        <f>U44/W44</f>
        <v>#DIV/0!</v>
      </c>
      <c r="AE44" s="56" t="e">
        <f>+AC44*AD44</f>
        <v>#DIV/0!</v>
      </c>
      <c r="AF44" s="55" t="e">
        <f>+AA44*AD44</f>
        <v>#DIV/0!</v>
      </c>
      <c r="AG44" s="57">
        <f>+(AC44*1000000)/5000</f>
        <v>0</v>
      </c>
      <c r="AH44" s="58"/>
      <c r="AI44" s="58"/>
      <c r="AJ44" s="59" t="e">
        <f>VLOOKUP(AH44,'CODART PRODUCTO'!B:C,2,0)</f>
        <v>#N/A</v>
      </c>
      <c r="AK44" s="59" t="e">
        <f>VLOOKUP(AI44,'CODART ORIGEN'!B:C,2,0)</f>
        <v>#N/A</v>
      </c>
      <c r="AL44" s="59" t="e">
        <f>VLOOKUP(B44,'CODART RESPONSABLE'!B:C,2,0)</f>
        <v>#N/A</v>
      </c>
      <c r="AM44" s="60">
        <f>IF(ISERROR(UPPER(CONCATENATE($H$1,"-",AJ44,"-",AK44,"-",AL44))),"",UPPER(CONCATENATE($H$1,"-",AJ44,"-",AK44,"-",AL44)))</f>
      </c>
      <c r="AN44" s="61" t="str">
        <f>IF(AND(U44=U45,AQ44=AQ45),"VERIFICAR CANTIDADES COTIZADAS")</f>
        <v>VERIFICAR CANTIDADES COTIZADAS</v>
      </c>
      <c r="AO44" s="62">
        <f>IF(OR(ISERROR(AP44),AQ44&lt;&gt;0,ISERROR(AQ44)),AQ44,AP44)</f>
      </c>
      <c r="AP44" s="63">
        <f>IF(ISERROR(UPPER(CONCATENATE($H$1,"-",AJ44,"-",AK44,"-",AL44,A44))),"",UPPER(CONCATENATE($H$1,"-",AJ44,"-",AK44,"-",AL44,A44)))</f>
      </c>
      <c r="AQ44" s="63"/>
      <c r="AR44" s="63"/>
      <c r="AS44" s="63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</row>
    <row r="45" ht="71.25" customHeight="1" spans="1:57" x14ac:dyDescent="0.25">
      <c r="A45" s="42"/>
      <c r="B45" s="43"/>
      <c r="C45" s="44"/>
      <c r="D45" s="44"/>
      <c r="E45" s="44"/>
      <c r="F45" s="44"/>
      <c r="G45" s="46"/>
      <c r="H45" s="46"/>
      <c r="I45" s="44"/>
      <c r="J45" s="65"/>
      <c r="K45" s="47"/>
      <c r="L45" s="48"/>
      <c r="M45" s="49"/>
      <c r="N45" s="49"/>
      <c r="O45" s="50"/>
      <c r="P45" s="49"/>
      <c r="Q45" s="48"/>
      <c r="R45" s="48"/>
      <c r="S45" s="48"/>
      <c r="T45" s="48"/>
      <c r="U45" s="50"/>
      <c r="V45" s="51"/>
      <c r="W45" s="52"/>
      <c r="X45" s="53"/>
      <c r="Y45" s="53"/>
      <c r="Z45" s="53"/>
      <c r="AA45" s="53"/>
      <c r="AB45" s="54"/>
      <c r="AC45" s="54">
        <f>(+X45*Y45*Z45)/1000000</f>
        <v>0</v>
      </c>
      <c r="AD45" s="55" t="e">
        <f>U45/W45</f>
        <v>#DIV/0!</v>
      </c>
      <c r="AE45" s="56" t="e">
        <f>+AC45*AD45</f>
        <v>#DIV/0!</v>
      </c>
      <c r="AF45" s="55" t="e">
        <f>+AA45*AD45</f>
        <v>#DIV/0!</v>
      </c>
      <c r="AG45" s="57">
        <f>+(AC45*1000000)/5000</f>
        <v>0</v>
      </c>
      <c r="AH45" s="58"/>
      <c r="AI45" s="58"/>
      <c r="AJ45" s="59" t="e">
        <f>VLOOKUP(AH45,'CODART PRODUCTO'!B:C,2,0)</f>
        <v>#N/A</v>
      </c>
      <c r="AK45" s="59" t="e">
        <f>VLOOKUP(AI45,'CODART ORIGEN'!B:C,2,0)</f>
        <v>#N/A</v>
      </c>
      <c r="AL45" s="59" t="e">
        <f>VLOOKUP(B45,'CODART RESPONSABLE'!B:C,2,0)</f>
        <v>#N/A</v>
      </c>
      <c r="AM45" s="60">
        <f>IF(ISERROR(UPPER(CONCATENATE($H$1,"-",AJ45,"-",AK45,"-",AL45))),"",UPPER(CONCATENATE($H$1,"-",AJ45,"-",AK45,"-",AL45)))</f>
      </c>
      <c r="AN45" s="61" t="str">
        <f>IF(AND(U45=U46,AQ45=AQ46),"VERIFICAR CANTIDADES COTIZADAS")</f>
        <v>VERIFICAR CANTIDADES COTIZADAS</v>
      </c>
      <c r="AO45" s="62">
        <f>IF(OR(ISERROR(AP45),AQ45&lt;&gt;0,ISERROR(AQ45)),AQ45,AP45)</f>
      </c>
      <c r="AP45" s="63">
        <f>IF(ISERROR(UPPER(CONCATENATE($H$1,"-",AJ45,"-",AK45,"-",AL45,A45))),"",UPPER(CONCATENATE($H$1,"-",AJ45,"-",AK45,"-",AL45,A45)))</f>
      </c>
      <c r="AQ45" s="63"/>
      <c r="AR45" s="63"/>
      <c r="AS45" s="63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</row>
    <row r="46" ht="71.25" customHeight="1" spans="1:57" x14ac:dyDescent="0.25">
      <c r="A46" s="42"/>
      <c r="B46" s="43"/>
      <c r="C46" s="44"/>
      <c r="D46" s="44"/>
      <c r="E46" s="44"/>
      <c r="F46" s="44"/>
      <c r="G46" s="46"/>
      <c r="H46" s="46"/>
      <c r="I46" s="44"/>
      <c r="J46" s="65"/>
      <c r="K46" s="47"/>
      <c r="L46" s="48"/>
      <c r="M46" s="49"/>
      <c r="N46" s="49"/>
      <c r="O46" s="50"/>
      <c r="P46" s="49"/>
      <c r="Q46" s="48"/>
      <c r="R46" s="48"/>
      <c r="S46" s="48"/>
      <c r="T46" s="48"/>
      <c r="U46" s="50"/>
      <c r="V46" s="51"/>
      <c r="W46" s="52"/>
      <c r="X46" s="53"/>
      <c r="Y46" s="53"/>
      <c r="Z46" s="53"/>
      <c r="AA46" s="53"/>
      <c r="AB46" s="54"/>
      <c r="AC46" s="54">
        <f>(+X46*Y46*Z46)/1000000</f>
        <v>0</v>
      </c>
      <c r="AD46" s="55" t="e">
        <f>U46/W46</f>
        <v>#DIV/0!</v>
      </c>
      <c r="AE46" s="56" t="e">
        <f>+AC46*AD46</f>
        <v>#DIV/0!</v>
      </c>
      <c r="AF46" s="55" t="e">
        <f>+AA46*AD46</f>
        <v>#DIV/0!</v>
      </c>
      <c r="AG46" s="57">
        <f>+(AC46*1000000)/5000</f>
        <v>0</v>
      </c>
      <c r="AH46" s="58"/>
      <c r="AI46" s="58"/>
      <c r="AJ46" s="59" t="e">
        <f>VLOOKUP(AH46,'CODART PRODUCTO'!B:C,2,0)</f>
        <v>#N/A</v>
      </c>
      <c r="AK46" s="59" t="e">
        <f>VLOOKUP(AI46,'CODART ORIGEN'!B:C,2,0)</f>
        <v>#N/A</v>
      </c>
      <c r="AL46" s="59" t="e">
        <f>VLOOKUP(B46,'CODART RESPONSABLE'!B:C,2,0)</f>
        <v>#N/A</v>
      </c>
      <c r="AM46" s="60">
        <f>IF(ISERROR(UPPER(CONCATENATE($H$1,"-",AJ46,"-",AK46,"-",AL46))),"",UPPER(CONCATENATE($H$1,"-",AJ46,"-",AK46,"-",AL46)))</f>
      </c>
      <c r="AN46" s="61" t="str">
        <f>IF(AND(U46=U47,AQ46=AQ47),"VERIFICAR CANTIDADES COTIZADAS")</f>
        <v>VERIFICAR CANTIDADES COTIZADAS</v>
      </c>
      <c r="AO46" s="62">
        <f>IF(OR(ISERROR(AP46),AQ46&lt;&gt;0,ISERROR(AQ46)),AQ46,AP46)</f>
      </c>
      <c r="AP46" s="63">
        <f>IF(ISERROR(UPPER(CONCATENATE($H$1,"-",AJ46,"-",AK46,"-",AL46,A46))),"",UPPER(CONCATENATE($H$1,"-",AJ46,"-",AK46,"-",AL46,A46)))</f>
      </c>
      <c r="AQ46" s="63"/>
      <c r="AR46" s="63"/>
      <c r="AS46" s="63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</row>
    <row r="47" ht="71.25" customHeight="1" spans="1:57" x14ac:dyDescent="0.25">
      <c r="A47" s="42"/>
      <c r="B47" s="43"/>
      <c r="C47" s="44"/>
      <c r="D47" s="44"/>
      <c r="E47" s="44"/>
      <c r="F47" s="44"/>
      <c r="G47" s="46"/>
      <c r="H47" s="46"/>
      <c r="I47" s="44"/>
      <c r="J47" s="65"/>
      <c r="K47" s="47"/>
      <c r="L47" s="48"/>
      <c r="M47" s="49"/>
      <c r="N47" s="49"/>
      <c r="O47" s="50"/>
      <c r="P47" s="49"/>
      <c r="Q47" s="48"/>
      <c r="R47" s="48"/>
      <c r="S47" s="48"/>
      <c r="T47" s="48"/>
      <c r="U47" s="50"/>
      <c r="V47" s="51"/>
      <c r="W47" s="52"/>
      <c r="X47" s="53"/>
      <c r="Y47" s="53"/>
      <c r="Z47" s="53"/>
      <c r="AA47" s="53"/>
      <c r="AB47" s="54"/>
      <c r="AC47" s="54">
        <f>(+X47*Y47*Z47)/1000000</f>
        <v>0</v>
      </c>
      <c r="AD47" s="55" t="e">
        <f>U47/W47</f>
        <v>#DIV/0!</v>
      </c>
      <c r="AE47" s="56" t="e">
        <f>+AC47*AD47</f>
        <v>#DIV/0!</v>
      </c>
      <c r="AF47" s="55" t="e">
        <f>+AA47*AD47</f>
        <v>#DIV/0!</v>
      </c>
      <c r="AG47" s="57">
        <f>+(AC47*1000000)/5000</f>
        <v>0</v>
      </c>
      <c r="AH47" s="58"/>
      <c r="AI47" s="58"/>
      <c r="AJ47" s="59" t="e">
        <f>VLOOKUP(AH47,'CODART PRODUCTO'!B:C,2,0)</f>
        <v>#N/A</v>
      </c>
      <c r="AK47" s="59" t="e">
        <f>VLOOKUP(AI47,'CODART ORIGEN'!B:C,2,0)</f>
        <v>#N/A</v>
      </c>
      <c r="AL47" s="59" t="e">
        <f>VLOOKUP(B47,'CODART RESPONSABLE'!B:C,2,0)</f>
        <v>#N/A</v>
      </c>
      <c r="AM47" s="60">
        <f>IF(ISERROR(UPPER(CONCATENATE($H$1,"-",AJ47,"-",AK47,"-",AL47))),"",UPPER(CONCATENATE($H$1,"-",AJ47,"-",AK47,"-",AL47)))</f>
      </c>
      <c r="AN47" s="61" t="str">
        <f>IF(AND(U47=U48,AQ47=AQ48),"VERIFICAR CANTIDADES COTIZADAS")</f>
        <v>VERIFICAR CANTIDADES COTIZADAS</v>
      </c>
      <c r="AO47" s="62">
        <f>IF(OR(ISERROR(AP47),AQ47&lt;&gt;0,ISERROR(AQ47)),AQ47,AP47)</f>
      </c>
      <c r="AP47" s="63">
        <f>IF(ISERROR(UPPER(CONCATENATE($H$1,"-",AJ47,"-",AK47,"-",AL47,A47))),"",UPPER(CONCATENATE($H$1,"-",AJ47,"-",AK47,"-",AL47,A47)))</f>
      </c>
      <c r="AQ47" s="63"/>
      <c r="AR47" s="63"/>
      <c r="AS47" s="63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</row>
    <row r="48" ht="71.25" customHeight="1" spans="1:57" x14ac:dyDescent="0.25">
      <c r="A48" s="42"/>
      <c r="B48" s="43"/>
      <c r="C48" s="44"/>
      <c r="D48" s="44"/>
      <c r="E48" s="44"/>
      <c r="F48" s="44"/>
      <c r="G48" s="46"/>
      <c r="H48" s="46"/>
      <c r="I48" s="44"/>
      <c r="J48" s="65"/>
      <c r="K48" s="47"/>
      <c r="L48" s="48"/>
      <c r="M48" s="49"/>
      <c r="N48" s="49"/>
      <c r="O48" s="50"/>
      <c r="P48" s="49"/>
      <c r="Q48" s="48"/>
      <c r="R48" s="48"/>
      <c r="S48" s="48"/>
      <c r="T48" s="48"/>
      <c r="U48" s="50"/>
      <c r="V48" s="51"/>
      <c r="W48" s="52"/>
      <c r="X48" s="53"/>
      <c r="Y48" s="53"/>
      <c r="Z48" s="53"/>
      <c r="AA48" s="53"/>
      <c r="AB48" s="54"/>
      <c r="AC48" s="54">
        <f>(+X48*Y48*Z48)/1000000</f>
        <v>0</v>
      </c>
      <c r="AD48" s="55" t="e">
        <f>U48/W48</f>
        <v>#DIV/0!</v>
      </c>
      <c r="AE48" s="56" t="e">
        <f>+AC48*AD48</f>
        <v>#DIV/0!</v>
      </c>
      <c r="AF48" s="55" t="e">
        <f>+AA48*AD48</f>
        <v>#DIV/0!</v>
      </c>
      <c r="AG48" s="57">
        <f>+(AC48*1000000)/5000</f>
        <v>0</v>
      </c>
      <c r="AH48" s="58"/>
      <c r="AI48" s="58"/>
      <c r="AJ48" s="59" t="e">
        <f>VLOOKUP(AH48,'CODART PRODUCTO'!B:C,2,0)</f>
        <v>#N/A</v>
      </c>
      <c r="AK48" s="59" t="e">
        <f>VLOOKUP(AI48,'CODART ORIGEN'!B:C,2,0)</f>
        <v>#N/A</v>
      </c>
      <c r="AL48" s="59" t="e">
        <f>VLOOKUP(B48,'CODART RESPONSABLE'!B:C,2,0)</f>
        <v>#N/A</v>
      </c>
      <c r="AM48" s="60">
        <f>IF(ISERROR(UPPER(CONCATENATE($H$1,"-",AJ48,"-",AK48,"-",AL48))),"",UPPER(CONCATENATE($H$1,"-",AJ48,"-",AK48,"-",AL48)))</f>
      </c>
      <c r="AN48" s="61" t="str">
        <f>IF(AND(U48=U49,AQ48=AQ49),"VERIFICAR CANTIDADES COTIZADAS")</f>
        <v>VERIFICAR CANTIDADES COTIZADAS</v>
      </c>
      <c r="AO48" s="62">
        <f>IF(OR(ISERROR(AP48),AQ48&lt;&gt;0,ISERROR(AQ48)),AQ48,AP48)</f>
      </c>
      <c r="AP48" s="63">
        <f>IF(ISERROR(UPPER(CONCATENATE($H$1,"-",AJ48,"-",AK48,"-",AL48,A48))),"",UPPER(CONCATENATE($H$1,"-",AJ48,"-",AK48,"-",AL48,A48)))</f>
      </c>
      <c r="AQ48" s="63"/>
      <c r="AR48" s="63"/>
      <c r="AS48" s="63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</row>
    <row r="49" ht="15.75" customHeight="1" spans="1:57" x14ac:dyDescent="0.25">
      <c r="A49" s="6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69"/>
      <c r="R49" s="3"/>
      <c r="S49" s="3"/>
      <c r="T49" s="70"/>
      <c r="U49" s="3"/>
      <c r="V49" s="71"/>
      <c r="W49" s="72"/>
      <c r="X49" s="73"/>
      <c r="Y49" s="73"/>
      <c r="Z49" s="73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5"/>
      <c r="AO49" s="76"/>
      <c r="AP49" s="74"/>
      <c r="AQ49" s="74"/>
      <c r="AR49" s="74"/>
      <c r="AS49" s="74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</row>
    <row r="50" ht="15.75" customHeight="1" spans="1:57" x14ac:dyDescent="0.25">
      <c r="A50" s="6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69"/>
      <c r="R50" s="3"/>
      <c r="S50" s="3"/>
      <c r="T50" s="70"/>
      <c r="U50" s="3"/>
      <c r="V50" s="71"/>
      <c r="W50" s="72"/>
      <c r="X50" s="73"/>
      <c r="Y50" s="73"/>
      <c r="Z50" s="73"/>
      <c r="AA50" s="73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5"/>
      <c r="AO50" s="76"/>
      <c r="AP50" s="74"/>
      <c r="AQ50" s="74"/>
      <c r="AR50" s="74"/>
      <c r="AS50" s="74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</row>
    <row r="51" ht="15.75" customHeight="1" spans="1:57" x14ac:dyDescent="0.25">
      <c r="A51" s="6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69"/>
      <c r="R51" s="3"/>
      <c r="S51" s="3"/>
      <c r="T51" s="70"/>
      <c r="U51" s="3"/>
      <c r="V51" s="71"/>
      <c r="W51" s="72"/>
      <c r="X51" s="73"/>
      <c r="Y51" s="73"/>
      <c r="Z51" s="73"/>
      <c r="AA51" s="73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5"/>
      <c r="AO51" s="76"/>
      <c r="AP51" s="74"/>
      <c r="AQ51" s="74"/>
      <c r="AR51" s="74"/>
      <c r="AS51" s="74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</row>
    <row r="52" ht="15.75" customHeight="1" spans="1:57" x14ac:dyDescent="0.25">
      <c r="A52" s="6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69"/>
      <c r="R52" s="3"/>
      <c r="S52" s="3"/>
      <c r="T52" s="70"/>
      <c r="U52" s="3"/>
      <c r="V52" s="71"/>
      <c r="W52" s="72"/>
      <c r="X52" s="73"/>
      <c r="Y52" s="73"/>
      <c r="Z52" s="73"/>
      <c r="AA52" s="73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5"/>
      <c r="AO52" s="76"/>
      <c r="AP52" s="74"/>
      <c r="AQ52" s="74"/>
      <c r="AR52" s="74"/>
      <c r="AS52" s="74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</row>
    <row r="53" ht="15.75" customHeight="1" spans="1:57" x14ac:dyDescent="0.25">
      <c r="A53" s="6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69"/>
      <c r="R53" s="3"/>
      <c r="S53" s="3"/>
      <c r="T53" s="70"/>
      <c r="U53" s="3"/>
      <c r="V53" s="71"/>
      <c r="W53" s="72"/>
      <c r="X53" s="73"/>
      <c r="Y53" s="73"/>
      <c r="Z53" s="73"/>
      <c r="AA53" s="73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5"/>
      <c r="AO53" s="76"/>
      <c r="AP53" s="74"/>
      <c r="AQ53" s="74"/>
      <c r="AR53" s="74"/>
      <c r="AS53" s="74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</row>
    <row r="54" ht="15.75" customHeight="1" spans="1:57" x14ac:dyDescent="0.25">
      <c r="A54" s="6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69"/>
      <c r="R54" s="3"/>
      <c r="S54" s="3"/>
      <c r="T54" s="70"/>
      <c r="U54" s="3"/>
      <c r="V54" s="71"/>
      <c r="W54" s="72"/>
      <c r="X54" s="73"/>
      <c r="Y54" s="73"/>
      <c r="Z54" s="73"/>
      <c r="AA54" s="73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5"/>
      <c r="AO54" s="76"/>
      <c r="AP54" s="74"/>
      <c r="AQ54" s="74"/>
      <c r="AR54" s="74"/>
      <c r="AS54" s="74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</row>
    <row r="55" ht="15.75" customHeight="1" spans="1:57" x14ac:dyDescent="0.25">
      <c r="A55" s="6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69"/>
      <c r="R55" s="3"/>
      <c r="S55" s="3"/>
      <c r="T55" s="3"/>
      <c r="U55" s="3"/>
      <c r="V55" s="71"/>
      <c r="W55" s="72"/>
      <c r="X55" s="73"/>
      <c r="Y55" s="73"/>
      <c r="Z55" s="73"/>
      <c r="AA55" s="73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5"/>
      <c r="AO55" s="76"/>
      <c r="AP55" s="74"/>
      <c r="AQ55" s="74"/>
      <c r="AR55" s="74"/>
      <c r="AS55" s="74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</row>
    <row r="56" ht="15.75" customHeight="1" spans="1:57" x14ac:dyDescent="0.25">
      <c r="A56" s="6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69"/>
      <c r="R56" s="3"/>
      <c r="S56" s="3"/>
      <c r="T56" s="3"/>
      <c r="U56" s="3"/>
      <c r="V56" s="71"/>
      <c r="W56" s="72"/>
      <c r="X56" s="73"/>
      <c r="Y56" s="73"/>
      <c r="Z56" s="73"/>
      <c r="AA56" s="73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5"/>
      <c r="AO56" s="76"/>
      <c r="AP56" s="74"/>
      <c r="AQ56" s="74"/>
      <c r="AR56" s="74"/>
      <c r="AS56" s="74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</row>
    <row r="57" ht="15.75" customHeight="1" spans="1:57" x14ac:dyDescent="0.25">
      <c r="A57" s="6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69"/>
      <c r="R57" s="3"/>
      <c r="S57" s="3"/>
      <c r="T57" s="3"/>
      <c r="U57" s="3"/>
      <c r="V57" s="71"/>
      <c r="W57" s="72"/>
      <c r="X57" s="73"/>
      <c r="Y57" s="73"/>
      <c r="Z57" s="73"/>
      <c r="AA57" s="73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5"/>
      <c r="AO57" s="76"/>
      <c r="AP57" s="74"/>
      <c r="AQ57" s="74"/>
      <c r="AR57" s="74"/>
      <c r="AS57" s="74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</row>
    <row r="58" ht="15.75" customHeight="1" spans="1:57" x14ac:dyDescent="0.25">
      <c r="A58" s="6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69"/>
      <c r="R58" s="3"/>
      <c r="S58" s="3"/>
      <c r="T58" s="3"/>
      <c r="U58" s="3"/>
      <c r="V58" s="71"/>
      <c r="W58" s="72"/>
      <c r="X58" s="73"/>
      <c r="Y58" s="73"/>
      <c r="Z58" s="73"/>
      <c r="AA58" s="73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5"/>
      <c r="AO58" s="76"/>
      <c r="AP58" s="74"/>
      <c r="AQ58" s="74"/>
      <c r="AR58" s="74"/>
      <c r="AS58" s="74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</row>
    <row r="59" ht="15.75" customHeight="1" spans="1:57" x14ac:dyDescent="0.25">
      <c r="A59" s="6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69"/>
      <c r="R59" s="3"/>
      <c r="S59" s="3"/>
      <c r="T59" s="3"/>
      <c r="U59" s="3"/>
      <c r="V59" s="71"/>
      <c r="W59" s="72"/>
      <c r="X59" s="73"/>
      <c r="Y59" s="73"/>
      <c r="Z59" s="73"/>
      <c r="AA59" s="73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5"/>
      <c r="AO59" s="76"/>
      <c r="AP59" s="74"/>
      <c r="AQ59" s="74"/>
      <c r="AR59" s="74"/>
      <c r="AS59" s="74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</row>
    <row r="60" ht="15.75" customHeight="1" spans="1:57" x14ac:dyDescent="0.25">
      <c r="A60" s="6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69"/>
      <c r="R60" s="3"/>
      <c r="S60" s="3"/>
      <c r="T60" s="3"/>
      <c r="U60" s="3"/>
      <c r="V60" s="71"/>
      <c r="W60" s="72"/>
      <c r="X60" s="73"/>
      <c r="Y60" s="73"/>
      <c r="Z60" s="73"/>
      <c r="AA60" s="73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5"/>
      <c r="AO60" s="76"/>
      <c r="AP60" s="74"/>
      <c r="AQ60" s="74"/>
      <c r="AR60" s="74"/>
      <c r="AS60" s="74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</row>
    <row r="61" ht="15.75" customHeight="1" spans="1:57" x14ac:dyDescent="0.25">
      <c r="A61" s="6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69"/>
      <c r="R61" s="3"/>
      <c r="S61" s="3"/>
      <c r="T61" s="3"/>
      <c r="U61" s="3"/>
      <c r="V61" s="71"/>
      <c r="W61" s="72"/>
      <c r="X61" s="73"/>
      <c r="Y61" s="73"/>
      <c r="Z61" s="73"/>
      <c r="AA61" s="73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5"/>
      <c r="AO61" s="76"/>
      <c r="AP61" s="74"/>
      <c r="AQ61" s="74"/>
      <c r="AR61" s="74"/>
      <c r="AS61" s="74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</row>
    <row r="62" ht="15.75" customHeight="1" spans="1:57" x14ac:dyDescent="0.25">
      <c r="A62" s="6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69"/>
      <c r="R62" s="3"/>
      <c r="S62" s="3"/>
      <c r="T62" s="3"/>
      <c r="U62" s="3"/>
      <c r="V62" s="71"/>
      <c r="W62" s="72"/>
      <c r="X62" s="73"/>
      <c r="Y62" s="73"/>
      <c r="Z62" s="73"/>
      <c r="AA62" s="73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5"/>
      <c r="AO62" s="76"/>
      <c r="AP62" s="74"/>
      <c r="AQ62" s="74"/>
      <c r="AR62" s="74"/>
      <c r="AS62" s="74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</row>
    <row r="63" ht="15.75" customHeight="1" spans="1:57" x14ac:dyDescent="0.25">
      <c r="A63" s="6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69"/>
      <c r="R63" s="3"/>
      <c r="S63" s="3"/>
      <c r="T63" s="3"/>
      <c r="U63" s="3"/>
      <c r="V63" s="71"/>
      <c r="W63" s="72"/>
      <c r="X63" s="73"/>
      <c r="Y63" s="73"/>
      <c r="Z63" s="73"/>
      <c r="AA63" s="73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5"/>
      <c r="AO63" s="76"/>
      <c r="AP63" s="74"/>
      <c r="AQ63" s="74"/>
      <c r="AR63" s="74"/>
      <c r="AS63" s="74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</row>
    <row r="64" ht="15.75" customHeight="1" spans="1:57" x14ac:dyDescent="0.25">
      <c r="A64" s="6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69"/>
      <c r="R64" s="3"/>
      <c r="S64" s="3"/>
      <c r="T64" s="3"/>
      <c r="U64" s="3"/>
      <c r="V64" s="71"/>
      <c r="W64" s="72"/>
      <c r="X64" s="73"/>
      <c r="Y64" s="73"/>
      <c r="Z64" s="73"/>
      <c r="AA64" s="73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5"/>
      <c r="AO64" s="76"/>
      <c r="AP64" s="74"/>
      <c r="AQ64" s="74"/>
      <c r="AR64" s="74"/>
      <c r="AS64" s="74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</row>
    <row r="65" ht="15.75" customHeight="1" spans="1:57" x14ac:dyDescent="0.25">
      <c r="A65" s="6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69"/>
      <c r="R65" s="3"/>
      <c r="S65" s="3"/>
      <c r="T65" s="3"/>
      <c r="U65" s="3"/>
      <c r="V65" s="71"/>
      <c r="W65" s="72"/>
      <c r="X65" s="73"/>
      <c r="Y65" s="73"/>
      <c r="Z65" s="73"/>
      <c r="AA65" s="73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5"/>
      <c r="AO65" s="76"/>
      <c r="AP65" s="74"/>
      <c r="AQ65" s="74"/>
      <c r="AR65" s="74"/>
      <c r="AS65" s="74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</row>
    <row r="66" ht="15.75" customHeight="1" spans="1:57" x14ac:dyDescent="0.25">
      <c r="A66" s="6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69"/>
      <c r="R66" s="3"/>
      <c r="S66" s="3"/>
      <c r="T66" s="3"/>
      <c r="U66" s="3"/>
      <c r="V66" s="71"/>
      <c r="W66" s="72"/>
      <c r="X66" s="73"/>
      <c r="Y66" s="73"/>
      <c r="Z66" s="73"/>
      <c r="AA66" s="73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5"/>
      <c r="AO66" s="76"/>
      <c r="AP66" s="74"/>
      <c r="AQ66" s="74"/>
      <c r="AR66" s="74"/>
      <c r="AS66" s="74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</row>
    <row r="67" ht="15.75" customHeight="1" spans="1:57" x14ac:dyDescent="0.25">
      <c r="A67" s="6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69"/>
      <c r="R67" s="3"/>
      <c r="S67" s="3"/>
      <c r="T67" s="3"/>
      <c r="U67" s="3"/>
      <c r="V67" s="71"/>
      <c r="W67" s="72"/>
      <c r="X67" s="73"/>
      <c r="Y67" s="73"/>
      <c r="Z67" s="73"/>
      <c r="AA67" s="73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5"/>
      <c r="AO67" s="76"/>
      <c r="AP67" s="74"/>
      <c r="AQ67" s="74"/>
      <c r="AR67" s="74"/>
      <c r="AS67" s="74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</row>
    <row r="68" ht="15.75" customHeight="1" spans="1:57" x14ac:dyDescent="0.25">
      <c r="A68" s="6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69"/>
      <c r="R68" s="3"/>
      <c r="S68" s="3"/>
      <c r="T68" s="3"/>
      <c r="U68" s="3"/>
      <c r="V68" s="71"/>
      <c r="W68" s="72"/>
      <c r="X68" s="73"/>
      <c r="Y68" s="73"/>
      <c r="Z68" s="73"/>
      <c r="AA68" s="73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5"/>
      <c r="AO68" s="76"/>
      <c r="AP68" s="74"/>
      <c r="AQ68" s="74"/>
      <c r="AR68" s="74"/>
      <c r="AS68" s="74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</row>
    <row r="69" ht="15.75" customHeight="1" spans="1:57" x14ac:dyDescent="0.25">
      <c r="A69" s="6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69"/>
      <c r="R69" s="3"/>
      <c r="S69" s="3"/>
      <c r="T69" s="3"/>
      <c r="U69" s="3"/>
      <c r="V69" s="71"/>
      <c r="W69" s="72"/>
      <c r="X69" s="73"/>
      <c r="Y69" s="73"/>
      <c r="Z69" s="73"/>
      <c r="AA69" s="73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5"/>
      <c r="AO69" s="76"/>
      <c r="AP69" s="74"/>
      <c r="AQ69" s="74"/>
      <c r="AR69" s="74"/>
      <c r="AS69" s="74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</row>
    <row r="70" ht="15.75" customHeight="1" spans="1:57" x14ac:dyDescent="0.25">
      <c r="A70" s="6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69"/>
      <c r="R70" s="3"/>
      <c r="S70" s="3"/>
      <c r="T70" s="3"/>
      <c r="U70" s="3"/>
      <c r="V70" s="71"/>
      <c r="W70" s="72"/>
      <c r="X70" s="73"/>
      <c r="Y70" s="73"/>
      <c r="Z70" s="73"/>
      <c r="AA70" s="73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5"/>
      <c r="AO70" s="76"/>
      <c r="AP70" s="74"/>
      <c r="AQ70" s="74"/>
      <c r="AR70" s="74"/>
      <c r="AS70" s="74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</row>
    <row r="71" ht="15.75" customHeight="1" spans="1:57" x14ac:dyDescent="0.25">
      <c r="A71" s="6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69"/>
      <c r="R71" s="3"/>
      <c r="S71" s="3"/>
      <c r="T71" s="3"/>
      <c r="U71" s="3"/>
      <c r="V71" s="71"/>
      <c r="W71" s="72"/>
      <c r="X71" s="73"/>
      <c r="Y71" s="73"/>
      <c r="Z71" s="73"/>
      <c r="AA71" s="73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5"/>
      <c r="AO71" s="76"/>
      <c r="AP71" s="74"/>
      <c r="AQ71" s="74"/>
      <c r="AR71" s="74"/>
      <c r="AS71" s="74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</row>
    <row r="72" ht="15.75" customHeight="1" spans="1:57" x14ac:dyDescent="0.25">
      <c r="A72" s="6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69"/>
      <c r="R72" s="3"/>
      <c r="S72" s="3"/>
      <c r="T72" s="3"/>
      <c r="U72" s="3"/>
      <c r="V72" s="71"/>
      <c r="W72" s="72"/>
      <c r="X72" s="73"/>
      <c r="Y72" s="73"/>
      <c r="Z72" s="73"/>
      <c r="AA72" s="73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5"/>
      <c r="AO72" s="76"/>
      <c r="AP72" s="74"/>
      <c r="AQ72" s="74"/>
      <c r="AR72" s="74"/>
      <c r="AS72" s="74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</row>
    <row r="73" ht="15.75" customHeight="1" spans="1:57" x14ac:dyDescent="0.25">
      <c r="A73" s="6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69"/>
      <c r="R73" s="3"/>
      <c r="S73" s="3"/>
      <c r="T73" s="3"/>
      <c r="U73" s="3"/>
      <c r="V73" s="71"/>
      <c r="W73" s="72"/>
      <c r="X73" s="73"/>
      <c r="Y73" s="73"/>
      <c r="Z73" s="73"/>
      <c r="AA73" s="73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5"/>
      <c r="AO73" s="76"/>
      <c r="AP73" s="74"/>
      <c r="AQ73" s="74"/>
      <c r="AR73" s="74"/>
      <c r="AS73" s="74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</row>
    <row r="74" ht="15.75" customHeight="1" spans="1:57" x14ac:dyDescent="0.25">
      <c r="A74" s="6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69"/>
      <c r="R74" s="3"/>
      <c r="S74" s="3"/>
      <c r="T74" s="3"/>
      <c r="U74" s="3"/>
      <c r="V74" s="71"/>
      <c r="W74" s="72"/>
      <c r="X74" s="73"/>
      <c r="Y74" s="73"/>
      <c r="Z74" s="73"/>
      <c r="AA74" s="73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5"/>
      <c r="AO74" s="76"/>
      <c r="AP74" s="74"/>
      <c r="AQ74" s="74"/>
      <c r="AR74" s="74"/>
      <c r="AS74" s="74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</row>
    <row r="75" ht="15.75" customHeight="1" spans="1:57" x14ac:dyDescent="0.25">
      <c r="A75" s="6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69"/>
      <c r="R75" s="3"/>
      <c r="S75" s="3"/>
      <c r="T75" s="3"/>
      <c r="U75" s="3"/>
      <c r="V75" s="71"/>
      <c r="W75" s="72"/>
      <c r="X75" s="73"/>
      <c r="Y75" s="73"/>
      <c r="Z75" s="73"/>
      <c r="AA75" s="73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5"/>
      <c r="AO75" s="76"/>
      <c r="AP75" s="74"/>
      <c r="AQ75" s="74"/>
      <c r="AR75" s="74"/>
      <c r="AS75" s="74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</row>
    <row r="76" ht="15.75" customHeight="1" spans="1:57" x14ac:dyDescent="0.25">
      <c r="A76" s="6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69"/>
      <c r="R76" s="3"/>
      <c r="S76" s="3"/>
      <c r="T76" s="3"/>
      <c r="U76" s="3"/>
      <c r="V76" s="71"/>
      <c r="W76" s="72"/>
      <c r="X76" s="73"/>
      <c r="Y76" s="73"/>
      <c r="Z76" s="73"/>
      <c r="AA76" s="73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5"/>
      <c r="AO76" s="76"/>
      <c r="AP76" s="74"/>
      <c r="AQ76" s="74"/>
      <c r="AR76" s="74"/>
      <c r="AS76" s="74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</row>
    <row r="77" ht="15.75" customHeight="1" spans="1:57" x14ac:dyDescent="0.25">
      <c r="A77" s="6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69"/>
      <c r="R77" s="3"/>
      <c r="S77" s="3"/>
      <c r="T77" s="3"/>
      <c r="U77" s="3"/>
      <c r="V77" s="71"/>
      <c r="W77" s="72"/>
      <c r="X77" s="73"/>
      <c r="Y77" s="73"/>
      <c r="Z77" s="73"/>
      <c r="AA77" s="73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5"/>
      <c r="AO77" s="76"/>
      <c r="AP77" s="74"/>
      <c r="AQ77" s="74"/>
      <c r="AR77" s="74"/>
      <c r="AS77" s="74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</row>
    <row r="78" ht="15.75" customHeight="1" spans="1:57" x14ac:dyDescent="0.25">
      <c r="A78" s="6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69"/>
      <c r="R78" s="3"/>
      <c r="S78" s="3"/>
      <c r="T78" s="3"/>
      <c r="U78" s="3"/>
      <c r="V78" s="71"/>
      <c r="W78" s="72"/>
      <c r="X78" s="73"/>
      <c r="Y78" s="73"/>
      <c r="Z78" s="73"/>
      <c r="AA78" s="73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5"/>
      <c r="AO78" s="76"/>
      <c r="AP78" s="74"/>
      <c r="AQ78" s="74"/>
      <c r="AR78" s="74"/>
      <c r="AS78" s="74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</row>
    <row r="79" ht="15.75" customHeight="1" spans="1:57" x14ac:dyDescent="0.25">
      <c r="A79" s="6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69"/>
      <c r="R79" s="3"/>
      <c r="S79" s="3"/>
      <c r="T79" s="3"/>
      <c r="U79" s="3"/>
      <c r="V79" s="71"/>
      <c r="W79" s="72"/>
      <c r="X79" s="73"/>
      <c r="Y79" s="73"/>
      <c r="Z79" s="73"/>
      <c r="AA79" s="73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5"/>
      <c r="AO79" s="76"/>
      <c r="AP79" s="74"/>
      <c r="AQ79" s="74"/>
      <c r="AR79" s="74"/>
      <c r="AS79" s="74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</row>
    <row r="80" ht="15.75" customHeight="1" spans="1:57" x14ac:dyDescent="0.25">
      <c r="A80" s="6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69"/>
      <c r="R80" s="3"/>
      <c r="S80" s="3"/>
      <c r="T80" s="3"/>
      <c r="U80" s="3"/>
      <c r="V80" s="71"/>
      <c r="W80" s="72"/>
      <c r="X80" s="73"/>
      <c r="Y80" s="73"/>
      <c r="Z80" s="73"/>
      <c r="AA80" s="73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5"/>
      <c r="AO80" s="76"/>
      <c r="AP80" s="74"/>
      <c r="AQ80" s="74"/>
      <c r="AR80" s="74"/>
      <c r="AS80" s="74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</row>
    <row r="81" ht="15.75" customHeight="1" spans="1:57" x14ac:dyDescent="0.25">
      <c r="A81" s="6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69"/>
      <c r="R81" s="3"/>
      <c r="S81" s="3"/>
      <c r="T81" s="3"/>
      <c r="U81" s="3"/>
      <c r="V81" s="71"/>
      <c r="W81" s="72"/>
      <c r="X81" s="73"/>
      <c r="Y81" s="73"/>
      <c r="Z81" s="73"/>
      <c r="AA81" s="73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5"/>
      <c r="AO81" s="76"/>
      <c r="AP81" s="74"/>
      <c r="AQ81" s="74"/>
      <c r="AR81" s="74"/>
      <c r="AS81" s="74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</row>
    <row r="82" ht="15.75" customHeight="1" spans="1:57" x14ac:dyDescent="0.25">
      <c r="A82" s="6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69"/>
      <c r="R82" s="3"/>
      <c r="S82" s="3"/>
      <c r="T82" s="3"/>
      <c r="U82" s="3"/>
      <c r="V82" s="71"/>
      <c r="W82" s="72"/>
      <c r="X82" s="73"/>
      <c r="Y82" s="73"/>
      <c r="Z82" s="73"/>
      <c r="AA82" s="73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5"/>
      <c r="AO82" s="76"/>
      <c r="AP82" s="74"/>
      <c r="AQ82" s="74"/>
      <c r="AR82" s="74"/>
      <c r="AS82" s="74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</row>
    <row r="83" ht="15.75" customHeight="1" spans="1:57" x14ac:dyDescent="0.25">
      <c r="A83" s="6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69"/>
      <c r="R83" s="3"/>
      <c r="S83" s="3"/>
      <c r="T83" s="3"/>
      <c r="U83" s="3"/>
      <c r="V83" s="71"/>
      <c r="W83" s="72"/>
      <c r="X83" s="73"/>
      <c r="Y83" s="73"/>
      <c r="Z83" s="73"/>
      <c r="AA83" s="73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5"/>
      <c r="AO83" s="76"/>
      <c r="AP83" s="74"/>
      <c r="AQ83" s="74"/>
      <c r="AR83" s="74"/>
      <c r="AS83" s="74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</row>
    <row r="84" ht="15.75" customHeight="1" spans="1:57" x14ac:dyDescent="0.25">
      <c r="A84" s="6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69"/>
      <c r="R84" s="3"/>
      <c r="S84" s="3"/>
      <c r="T84" s="3"/>
      <c r="U84" s="3"/>
      <c r="V84" s="71"/>
      <c r="W84" s="72"/>
      <c r="X84" s="73"/>
      <c r="Y84" s="73"/>
      <c r="Z84" s="73"/>
      <c r="AA84" s="73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5"/>
      <c r="AO84" s="76"/>
      <c r="AP84" s="74"/>
      <c r="AQ84" s="74"/>
      <c r="AR84" s="74"/>
      <c r="AS84" s="74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</row>
    <row r="85" ht="15.75" customHeight="1" spans="1:57" x14ac:dyDescent="0.25">
      <c r="A85" s="6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69"/>
      <c r="R85" s="3"/>
      <c r="S85" s="3"/>
      <c r="T85" s="3"/>
      <c r="U85" s="3"/>
      <c r="V85" s="71"/>
      <c r="W85" s="72"/>
      <c r="X85" s="73"/>
      <c r="Y85" s="73"/>
      <c r="Z85" s="73"/>
      <c r="AA85" s="73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5"/>
      <c r="AO85" s="76"/>
      <c r="AP85" s="74"/>
      <c r="AQ85" s="74"/>
      <c r="AR85" s="74"/>
      <c r="AS85" s="74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</row>
    <row r="86" ht="15.75" customHeight="1" spans="1:57" x14ac:dyDescent="0.25">
      <c r="A86" s="6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69"/>
      <c r="R86" s="3"/>
      <c r="S86" s="3"/>
      <c r="T86" s="3"/>
      <c r="U86" s="3"/>
      <c r="V86" s="71"/>
      <c r="W86" s="72"/>
      <c r="X86" s="73"/>
      <c r="Y86" s="73"/>
      <c r="Z86" s="73"/>
      <c r="AA86" s="73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5"/>
      <c r="AO86" s="76"/>
      <c r="AP86" s="74"/>
      <c r="AQ86" s="74"/>
      <c r="AR86" s="74"/>
      <c r="AS86" s="74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</row>
    <row r="87" ht="15.75" customHeight="1" spans="1:57" x14ac:dyDescent="0.25">
      <c r="A87" s="6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69"/>
      <c r="R87" s="3"/>
      <c r="S87" s="3"/>
      <c r="T87" s="3"/>
      <c r="U87" s="3"/>
      <c r="V87" s="71"/>
      <c r="W87" s="72"/>
      <c r="X87" s="73"/>
      <c r="Y87" s="73"/>
      <c r="Z87" s="73"/>
      <c r="AA87" s="73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5"/>
      <c r="AO87" s="76"/>
      <c r="AP87" s="74"/>
      <c r="AQ87" s="74"/>
      <c r="AR87" s="74"/>
      <c r="AS87" s="74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</row>
    <row r="88" ht="15.75" customHeight="1" spans="1:57" x14ac:dyDescent="0.25">
      <c r="A88" s="6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69"/>
      <c r="R88" s="3"/>
      <c r="S88" s="3"/>
      <c r="T88" s="3"/>
      <c r="U88" s="3"/>
      <c r="V88" s="71"/>
      <c r="W88" s="72"/>
      <c r="X88" s="73"/>
      <c r="Y88" s="73"/>
      <c r="Z88" s="73"/>
      <c r="AA88" s="73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5"/>
      <c r="AO88" s="76"/>
      <c r="AP88" s="74"/>
      <c r="AQ88" s="74"/>
      <c r="AR88" s="74"/>
      <c r="AS88" s="74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</row>
    <row r="89" ht="15.75" customHeight="1" spans="1:57" x14ac:dyDescent="0.25">
      <c r="A89" s="6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69"/>
      <c r="R89" s="3"/>
      <c r="S89" s="3"/>
      <c r="T89" s="3"/>
      <c r="U89" s="3"/>
      <c r="V89" s="71"/>
      <c r="W89" s="72"/>
      <c r="X89" s="73"/>
      <c r="Y89" s="73"/>
      <c r="Z89" s="73"/>
      <c r="AA89" s="73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5"/>
      <c r="AO89" s="76"/>
      <c r="AP89" s="74"/>
      <c r="AQ89" s="74"/>
      <c r="AR89" s="74"/>
      <c r="AS89" s="74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</row>
    <row r="90" ht="15.75" customHeight="1" spans="1:57" x14ac:dyDescent="0.25">
      <c r="A90" s="6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69"/>
      <c r="R90" s="3"/>
      <c r="S90" s="3"/>
      <c r="T90" s="3"/>
      <c r="U90" s="3"/>
      <c r="V90" s="71"/>
      <c r="W90" s="72"/>
      <c r="X90" s="73"/>
      <c r="Y90" s="73"/>
      <c r="Z90" s="73"/>
      <c r="AA90" s="73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5"/>
      <c r="AO90" s="76"/>
      <c r="AP90" s="74"/>
      <c r="AQ90" s="74"/>
      <c r="AR90" s="74"/>
      <c r="AS90" s="74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</row>
    <row r="91" ht="15.75" customHeight="1" spans="1:57" x14ac:dyDescent="0.25">
      <c r="A91" s="6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69"/>
      <c r="R91" s="3"/>
      <c r="S91" s="3"/>
      <c r="T91" s="3"/>
      <c r="U91" s="3"/>
      <c r="V91" s="71"/>
      <c r="W91" s="72"/>
      <c r="X91" s="73"/>
      <c r="Y91" s="73"/>
      <c r="Z91" s="73"/>
      <c r="AA91" s="73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5"/>
      <c r="AO91" s="76"/>
      <c r="AP91" s="74"/>
      <c r="AQ91" s="74"/>
      <c r="AR91" s="74"/>
      <c r="AS91" s="74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</row>
    <row r="92" ht="15.75" customHeight="1" spans="1:57" x14ac:dyDescent="0.25">
      <c r="A92" s="6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69"/>
      <c r="R92" s="3"/>
      <c r="S92" s="3"/>
      <c r="T92" s="3"/>
      <c r="U92" s="3"/>
      <c r="V92" s="71"/>
      <c r="W92" s="72"/>
      <c r="X92" s="73"/>
      <c r="Y92" s="73"/>
      <c r="Z92" s="73"/>
      <c r="AA92" s="73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5"/>
      <c r="AO92" s="76"/>
      <c r="AP92" s="74"/>
      <c r="AQ92" s="74"/>
      <c r="AR92" s="74"/>
      <c r="AS92" s="74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</row>
    <row r="93" ht="15.75" customHeight="1" spans="1:57" x14ac:dyDescent="0.25">
      <c r="A93" s="6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69"/>
      <c r="R93" s="3"/>
      <c r="S93" s="3"/>
      <c r="T93" s="3"/>
      <c r="U93" s="3"/>
      <c r="V93" s="71"/>
      <c r="W93" s="72"/>
      <c r="X93" s="73"/>
      <c r="Y93" s="73"/>
      <c r="Z93" s="73"/>
      <c r="AA93" s="73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5"/>
      <c r="AO93" s="76"/>
      <c r="AP93" s="74"/>
      <c r="AQ93" s="74"/>
      <c r="AR93" s="74"/>
      <c r="AS93" s="74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</row>
    <row r="94" ht="15.75" customHeight="1" spans="1:57" x14ac:dyDescent="0.25">
      <c r="A94" s="6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69"/>
      <c r="R94" s="3"/>
      <c r="S94" s="3"/>
      <c r="T94" s="3"/>
      <c r="U94" s="3"/>
      <c r="V94" s="71"/>
      <c r="W94" s="72"/>
      <c r="X94" s="73"/>
      <c r="Y94" s="73"/>
      <c r="Z94" s="73"/>
      <c r="AA94" s="73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5"/>
      <c r="AO94" s="76"/>
      <c r="AP94" s="74"/>
      <c r="AQ94" s="74"/>
      <c r="AR94" s="74"/>
      <c r="AS94" s="74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</row>
    <row r="95" ht="15.75" customHeight="1" spans="1:57" x14ac:dyDescent="0.25">
      <c r="A95" s="6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69"/>
      <c r="R95" s="3"/>
      <c r="S95" s="3"/>
      <c r="T95" s="3"/>
      <c r="U95" s="3"/>
      <c r="V95" s="71"/>
      <c r="W95" s="72"/>
      <c r="X95" s="73"/>
      <c r="Y95" s="73"/>
      <c r="Z95" s="73"/>
      <c r="AA95" s="73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5"/>
      <c r="AO95" s="76"/>
      <c r="AP95" s="74"/>
      <c r="AQ95" s="74"/>
      <c r="AR95" s="74"/>
      <c r="AS95" s="74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</row>
    <row r="96" ht="15.75" customHeight="1" spans="1:57" x14ac:dyDescent="0.25">
      <c r="A96" s="6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69"/>
      <c r="R96" s="3"/>
      <c r="S96" s="3"/>
      <c r="T96" s="3"/>
      <c r="U96" s="3"/>
      <c r="V96" s="71"/>
      <c r="W96" s="72"/>
      <c r="X96" s="73"/>
      <c r="Y96" s="73"/>
      <c r="Z96" s="73"/>
      <c r="AA96" s="73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5"/>
      <c r="AO96" s="76"/>
      <c r="AP96" s="74"/>
      <c r="AQ96" s="74"/>
      <c r="AR96" s="74"/>
      <c r="AS96" s="74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</row>
    <row r="97" ht="15.75" customHeight="1" spans="1:57" x14ac:dyDescent="0.25">
      <c r="A97" s="6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69"/>
      <c r="R97" s="3"/>
      <c r="S97" s="3"/>
      <c r="T97" s="3"/>
      <c r="U97" s="3"/>
      <c r="V97" s="71"/>
      <c r="W97" s="72"/>
      <c r="X97" s="73"/>
      <c r="Y97" s="73"/>
      <c r="Z97" s="73"/>
      <c r="AA97" s="73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5"/>
      <c r="AO97" s="76"/>
      <c r="AP97" s="74"/>
      <c r="AQ97" s="74"/>
      <c r="AR97" s="74"/>
      <c r="AS97" s="74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</row>
    <row r="98" ht="15.75" customHeight="1" spans="1:57" x14ac:dyDescent="0.25">
      <c r="A98" s="6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69"/>
      <c r="R98" s="3"/>
      <c r="S98" s="3"/>
      <c r="T98" s="3"/>
      <c r="U98" s="3"/>
      <c r="V98" s="71"/>
      <c r="W98" s="72"/>
      <c r="X98" s="73"/>
      <c r="Y98" s="73"/>
      <c r="Z98" s="73"/>
      <c r="AA98" s="73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5"/>
      <c r="AO98" s="76"/>
      <c r="AP98" s="74"/>
      <c r="AQ98" s="74"/>
      <c r="AR98" s="74"/>
      <c r="AS98" s="74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</row>
    <row r="99" ht="15.75" customHeight="1" spans="1:57" x14ac:dyDescent="0.25">
      <c r="A99" s="6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69"/>
      <c r="R99" s="3"/>
      <c r="S99" s="3"/>
      <c r="T99" s="3"/>
      <c r="U99" s="3"/>
      <c r="V99" s="71"/>
      <c r="W99" s="72"/>
      <c r="X99" s="73"/>
      <c r="Y99" s="73"/>
      <c r="Z99" s="73"/>
      <c r="AA99" s="73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5"/>
      <c r="AO99" s="76"/>
      <c r="AP99" s="74"/>
      <c r="AQ99" s="74"/>
      <c r="AR99" s="74"/>
      <c r="AS99" s="74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</row>
    <row r="100" ht="15.75" customHeight="1" spans="1:57" x14ac:dyDescent="0.25">
      <c r="A100" s="6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69"/>
      <c r="R100" s="3"/>
      <c r="S100" s="3"/>
      <c r="T100" s="3"/>
      <c r="U100" s="3"/>
      <c r="V100" s="71"/>
      <c r="W100" s="72"/>
      <c r="X100" s="73"/>
      <c r="Y100" s="73"/>
      <c r="Z100" s="73"/>
      <c r="AA100" s="73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5"/>
      <c r="AO100" s="76"/>
      <c r="AP100" s="74"/>
      <c r="AQ100" s="74"/>
      <c r="AR100" s="74"/>
      <c r="AS100" s="74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</row>
    <row r="101" ht="15.75" customHeight="1" spans="1:57" x14ac:dyDescent="0.25">
      <c r="A101" s="6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69"/>
      <c r="R101" s="3"/>
      <c r="S101" s="3"/>
      <c r="T101" s="3"/>
      <c r="U101" s="3"/>
      <c r="V101" s="71"/>
      <c r="W101" s="72"/>
      <c r="X101" s="73"/>
      <c r="Y101" s="73"/>
      <c r="Z101" s="73"/>
      <c r="AA101" s="73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5"/>
      <c r="AO101" s="76"/>
      <c r="AP101" s="74"/>
      <c r="AQ101" s="74"/>
      <c r="AR101" s="74"/>
      <c r="AS101" s="74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</row>
    <row r="102" ht="15.75" customHeight="1" spans="1:57" x14ac:dyDescent="0.25">
      <c r="A102" s="6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69"/>
      <c r="R102" s="3"/>
      <c r="S102" s="3"/>
      <c r="T102" s="3"/>
      <c r="U102" s="3"/>
      <c r="V102" s="71"/>
      <c r="W102" s="72"/>
      <c r="X102" s="73"/>
      <c r="Y102" s="73"/>
      <c r="Z102" s="73"/>
      <c r="AA102" s="73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5"/>
      <c r="AO102" s="76"/>
      <c r="AP102" s="74"/>
      <c r="AQ102" s="74"/>
      <c r="AR102" s="74"/>
      <c r="AS102" s="74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</row>
    <row r="103" ht="15.75" customHeight="1" spans="1:57" x14ac:dyDescent="0.25">
      <c r="A103" s="6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69"/>
      <c r="R103" s="3"/>
      <c r="S103" s="3"/>
      <c r="T103" s="3"/>
      <c r="U103" s="3"/>
      <c r="V103" s="71"/>
      <c r="W103" s="72"/>
      <c r="X103" s="73"/>
      <c r="Y103" s="73"/>
      <c r="Z103" s="73"/>
      <c r="AA103" s="73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5"/>
      <c r="AO103" s="76"/>
      <c r="AP103" s="74"/>
      <c r="AQ103" s="74"/>
      <c r="AR103" s="74"/>
      <c r="AS103" s="74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</row>
    <row r="104" ht="15.75" customHeight="1" spans="1:57" x14ac:dyDescent="0.25">
      <c r="A104" s="6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69"/>
      <c r="R104" s="3"/>
      <c r="S104" s="3"/>
      <c r="T104" s="3"/>
      <c r="U104" s="3"/>
      <c r="V104" s="71"/>
      <c r="W104" s="72"/>
      <c r="X104" s="73"/>
      <c r="Y104" s="73"/>
      <c r="Z104" s="73"/>
      <c r="AA104" s="73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5"/>
      <c r="AO104" s="76"/>
      <c r="AP104" s="74"/>
      <c r="AQ104" s="74"/>
      <c r="AR104" s="74"/>
      <c r="AS104" s="74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</row>
    <row r="105" ht="15.75" customHeight="1" spans="1:57" x14ac:dyDescent="0.25">
      <c r="A105" s="6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69"/>
      <c r="R105" s="3"/>
      <c r="S105" s="3"/>
      <c r="T105" s="3"/>
      <c r="U105" s="3"/>
      <c r="V105" s="71"/>
      <c r="W105" s="72"/>
      <c r="X105" s="73"/>
      <c r="Y105" s="73"/>
      <c r="Z105" s="73"/>
      <c r="AA105" s="73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5"/>
      <c r="AO105" s="76"/>
      <c r="AP105" s="74"/>
      <c r="AQ105" s="74"/>
      <c r="AR105" s="74"/>
      <c r="AS105" s="74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</row>
    <row r="106" ht="15.75" customHeight="1" spans="1:57" x14ac:dyDescent="0.25">
      <c r="A106" s="6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69"/>
      <c r="R106" s="3"/>
      <c r="S106" s="3"/>
      <c r="T106" s="3"/>
      <c r="U106" s="3"/>
      <c r="V106" s="71"/>
      <c r="W106" s="72"/>
      <c r="X106" s="73"/>
      <c r="Y106" s="73"/>
      <c r="Z106" s="73"/>
      <c r="AA106" s="73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5"/>
      <c r="AO106" s="76"/>
      <c r="AP106" s="74"/>
      <c r="AQ106" s="74"/>
      <c r="AR106" s="74"/>
      <c r="AS106" s="74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</row>
    <row r="107" ht="15.75" customHeight="1" spans="1:57" x14ac:dyDescent="0.25">
      <c r="A107" s="6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69"/>
      <c r="R107" s="3"/>
      <c r="S107" s="3"/>
      <c r="T107" s="3"/>
      <c r="U107" s="3"/>
      <c r="V107" s="71"/>
      <c r="W107" s="72"/>
      <c r="X107" s="73"/>
      <c r="Y107" s="73"/>
      <c r="Z107" s="73"/>
      <c r="AA107" s="73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5"/>
      <c r="AO107" s="76"/>
      <c r="AP107" s="74"/>
      <c r="AQ107" s="74"/>
      <c r="AR107" s="74"/>
      <c r="AS107" s="74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</row>
    <row r="108" ht="15.75" customHeight="1" spans="1:57" x14ac:dyDescent="0.25">
      <c r="A108" s="6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69"/>
      <c r="R108" s="3"/>
      <c r="S108" s="3"/>
      <c r="T108" s="3"/>
      <c r="U108" s="3"/>
      <c r="V108" s="71"/>
      <c r="W108" s="72"/>
      <c r="X108" s="73"/>
      <c r="Y108" s="73"/>
      <c r="Z108" s="73"/>
      <c r="AA108" s="73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5"/>
      <c r="AO108" s="76"/>
      <c r="AP108" s="74"/>
      <c r="AQ108" s="74"/>
      <c r="AR108" s="74"/>
      <c r="AS108" s="74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</row>
    <row r="109" ht="15.75" customHeight="1" spans="1:57" x14ac:dyDescent="0.25">
      <c r="A109" s="6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69"/>
      <c r="R109" s="3"/>
      <c r="S109" s="3"/>
      <c r="T109" s="3"/>
      <c r="U109" s="3"/>
      <c r="V109" s="71"/>
      <c r="W109" s="72"/>
      <c r="X109" s="73"/>
      <c r="Y109" s="73"/>
      <c r="Z109" s="73"/>
      <c r="AA109" s="73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5"/>
      <c r="AO109" s="76"/>
      <c r="AP109" s="74"/>
      <c r="AQ109" s="74"/>
      <c r="AR109" s="74"/>
      <c r="AS109" s="74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ht="15.75" customHeight="1" spans="1:57" x14ac:dyDescent="0.25">
      <c r="A110" s="6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69"/>
      <c r="R110" s="3"/>
      <c r="S110" s="3"/>
      <c r="T110" s="3"/>
      <c r="U110" s="3"/>
      <c r="V110" s="71"/>
      <c r="W110" s="72"/>
      <c r="X110" s="73"/>
      <c r="Y110" s="73"/>
      <c r="Z110" s="73"/>
      <c r="AA110" s="73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5"/>
      <c r="AO110" s="76"/>
      <c r="AP110" s="74"/>
      <c r="AQ110" s="74"/>
      <c r="AR110" s="74"/>
      <c r="AS110" s="74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</row>
    <row r="111" ht="15.75" customHeight="1" spans="1:57" x14ac:dyDescent="0.25">
      <c r="A111" s="6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69"/>
      <c r="R111" s="3"/>
      <c r="S111" s="3"/>
      <c r="T111" s="3"/>
      <c r="U111" s="3"/>
      <c r="V111" s="71"/>
      <c r="W111" s="72"/>
      <c r="X111" s="73"/>
      <c r="Y111" s="73"/>
      <c r="Z111" s="73"/>
      <c r="AA111" s="73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5"/>
      <c r="AO111" s="76"/>
      <c r="AP111" s="74"/>
      <c r="AQ111" s="74"/>
      <c r="AR111" s="74"/>
      <c r="AS111" s="74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</row>
    <row r="112" ht="15.75" customHeight="1" spans="1:57" x14ac:dyDescent="0.25">
      <c r="A112" s="6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69"/>
      <c r="R112" s="3"/>
      <c r="S112" s="3"/>
      <c r="T112" s="3"/>
      <c r="U112" s="3"/>
      <c r="V112" s="71"/>
      <c r="W112" s="72"/>
      <c r="X112" s="73"/>
      <c r="Y112" s="73"/>
      <c r="Z112" s="73"/>
      <c r="AA112" s="73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5"/>
      <c r="AO112" s="76"/>
      <c r="AP112" s="74"/>
      <c r="AQ112" s="74"/>
      <c r="AR112" s="74"/>
      <c r="AS112" s="74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</row>
    <row r="113" ht="15.75" customHeight="1" spans="1:57" x14ac:dyDescent="0.25">
      <c r="A113" s="6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69"/>
      <c r="R113" s="3"/>
      <c r="S113" s="3"/>
      <c r="T113" s="3"/>
      <c r="U113" s="3"/>
      <c r="V113" s="71"/>
      <c r="W113" s="72"/>
      <c r="X113" s="73"/>
      <c r="Y113" s="73"/>
      <c r="Z113" s="73"/>
      <c r="AA113" s="73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5"/>
      <c r="AO113" s="76"/>
      <c r="AP113" s="74"/>
      <c r="AQ113" s="74"/>
      <c r="AR113" s="74"/>
      <c r="AS113" s="74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</row>
    <row r="114" ht="15.75" customHeight="1" spans="1:57" x14ac:dyDescent="0.25">
      <c r="A114" s="6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69"/>
      <c r="R114" s="3"/>
      <c r="S114" s="3"/>
      <c r="T114" s="3"/>
      <c r="U114" s="3"/>
      <c r="V114" s="71"/>
      <c r="W114" s="72"/>
      <c r="X114" s="73"/>
      <c r="Y114" s="73"/>
      <c r="Z114" s="73"/>
      <c r="AA114" s="73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5"/>
      <c r="AO114" s="76"/>
      <c r="AP114" s="74"/>
      <c r="AQ114" s="74"/>
      <c r="AR114" s="74"/>
      <c r="AS114" s="74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</row>
    <row r="115" ht="15.75" customHeight="1" spans="1:57" x14ac:dyDescent="0.25">
      <c r="A115" s="6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69"/>
      <c r="R115" s="3"/>
      <c r="S115" s="3"/>
      <c r="T115" s="3"/>
      <c r="U115" s="3"/>
      <c r="V115" s="71"/>
      <c r="W115" s="72"/>
      <c r="X115" s="73"/>
      <c r="Y115" s="73"/>
      <c r="Z115" s="73"/>
      <c r="AA115" s="73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5"/>
      <c r="AO115" s="76"/>
      <c r="AP115" s="74"/>
      <c r="AQ115" s="74"/>
      <c r="AR115" s="74"/>
      <c r="AS115" s="74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</row>
    <row r="116" ht="15.75" customHeight="1" spans="1:57" x14ac:dyDescent="0.25">
      <c r="A116" s="6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69"/>
      <c r="R116" s="3"/>
      <c r="S116" s="3"/>
      <c r="T116" s="3"/>
      <c r="U116" s="3"/>
      <c r="V116" s="71"/>
      <c r="W116" s="72"/>
      <c r="X116" s="73"/>
      <c r="Y116" s="73"/>
      <c r="Z116" s="73"/>
      <c r="AA116" s="73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5"/>
      <c r="AO116" s="76"/>
      <c r="AP116" s="74"/>
      <c r="AQ116" s="74"/>
      <c r="AR116" s="74"/>
      <c r="AS116" s="74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</row>
    <row r="117" ht="15.75" customHeight="1" spans="1:57" x14ac:dyDescent="0.25">
      <c r="A117" s="6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69"/>
      <c r="R117" s="3"/>
      <c r="S117" s="3"/>
      <c r="T117" s="3"/>
      <c r="U117" s="3"/>
      <c r="V117" s="71"/>
      <c r="W117" s="72"/>
      <c r="X117" s="73"/>
      <c r="Y117" s="73"/>
      <c r="Z117" s="73"/>
      <c r="AA117" s="73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5"/>
      <c r="AO117" s="76"/>
      <c r="AP117" s="74"/>
      <c r="AQ117" s="74"/>
      <c r="AR117" s="74"/>
      <c r="AS117" s="74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</row>
    <row r="118" ht="15.75" customHeight="1" spans="1:57" x14ac:dyDescent="0.25">
      <c r="A118" s="6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69"/>
      <c r="R118" s="3"/>
      <c r="S118" s="3"/>
      <c r="T118" s="3"/>
      <c r="U118" s="3"/>
      <c r="V118" s="71"/>
      <c r="W118" s="72"/>
      <c r="X118" s="73"/>
      <c r="Y118" s="73"/>
      <c r="Z118" s="73"/>
      <c r="AA118" s="73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5"/>
      <c r="AO118" s="76"/>
      <c r="AP118" s="74"/>
      <c r="AQ118" s="74"/>
      <c r="AR118" s="74"/>
      <c r="AS118" s="74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</row>
    <row r="119" ht="15.75" customHeight="1" spans="1:57" x14ac:dyDescent="0.25">
      <c r="A119" s="6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69"/>
      <c r="R119" s="3"/>
      <c r="S119" s="3"/>
      <c r="T119" s="3"/>
      <c r="U119" s="3"/>
      <c r="V119" s="71"/>
      <c r="W119" s="72"/>
      <c r="X119" s="73"/>
      <c r="Y119" s="73"/>
      <c r="Z119" s="73"/>
      <c r="AA119" s="73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5"/>
      <c r="AO119" s="76"/>
      <c r="AP119" s="74"/>
      <c r="AQ119" s="74"/>
      <c r="AR119" s="74"/>
      <c r="AS119" s="74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</row>
    <row r="120" ht="15.75" customHeight="1" spans="1:57" x14ac:dyDescent="0.25">
      <c r="A120" s="6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69"/>
      <c r="R120" s="3"/>
      <c r="S120" s="3"/>
      <c r="T120" s="3"/>
      <c r="U120" s="3"/>
      <c r="V120" s="71"/>
      <c r="W120" s="72"/>
      <c r="X120" s="73"/>
      <c r="Y120" s="73"/>
      <c r="Z120" s="73"/>
      <c r="AA120" s="73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5"/>
      <c r="AO120" s="76"/>
      <c r="AP120" s="74"/>
      <c r="AQ120" s="74"/>
      <c r="AR120" s="74"/>
      <c r="AS120" s="74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</row>
    <row r="121" ht="15.75" customHeight="1" spans="1:57" x14ac:dyDescent="0.25">
      <c r="A121" s="6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69"/>
      <c r="R121" s="3"/>
      <c r="S121" s="3"/>
      <c r="T121" s="3"/>
      <c r="U121" s="3"/>
      <c r="V121" s="71"/>
      <c r="W121" s="72"/>
      <c r="X121" s="73"/>
      <c r="Y121" s="73"/>
      <c r="Z121" s="73"/>
      <c r="AA121" s="73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5"/>
      <c r="AO121" s="76"/>
      <c r="AP121" s="74"/>
      <c r="AQ121" s="74"/>
      <c r="AR121" s="74"/>
      <c r="AS121" s="74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</row>
    <row r="122" ht="15.75" customHeight="1" spans="1:57" x14ac:dyDescent="0.25">
      <c r="A122" s="6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69"/>
      <c r="R122" s="3"/>
      <c r="S122" s="3"/>
      <c r="T122" s="3"/>
      <c r="U122" s="3"/>
      <c r="V122" s="71"/>
      <c r="W122" s="72"/>
      <c r="X122" s="73"/>
      <c r="Y122" s="73"/>
      <c r="Z122" s="73"/>
      <c r="AA122" s="73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5"/>
      <c r="AO122" s="76"/>
      <c r="AP122" s="74"/>
      <c r="AQ122" s="74"/>
      <c r="AR122" s="74"/>
      <c r="AS122" s="74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</row>
    <row r="123" ht="15.75" customHeight="1" spans="1:57" x14ac:dyDescent="0.25">
      <c r="A123" s="6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69"/>
      <c r="R123" s="3"/>
      <c r="S123" s="3"/>
      <c r="T123" s="3"/>
      <c r="U123" s="3"/>
      <c r="V123" s="71"/>
      <c r="W123" s="72"/>
      <c r="X123" s="73"/>
      <c r="Y123" s="73"/>
      <c r="Z123" s="73"/>
      <c r="AA123" s="73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5"/>
      <c r="AO123" s="76"/>
      <c r="AP123" s="74"/>
      <c r="AQ123" s="74"/>
      <c r="AR123" s="74"/>
      <c r="AS123" s="74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</row>
    <row r="124" ht="15.75" customHeight="1" spans="1:57" x14ac:dyDescent="0.25">
      <c r="A124" s="6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69"/>
      <c r="R124" s="3"/>
      <c r="S124" s="3"/>
      <c r="T124" s="3"/>
      <c r="U124" s="3"/>
      <c r="V124" s="71"/>
      <c r="W124" s="72"/>
      <c r="X124" s="73"/>
      <c r="Y124" s="73"/>
      <c r="Z124" s="73"/>
      <c r="AA124" s="73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5"/>
      <c r="AO124" s="76"/>
      <c r="AP124" s="74"/>
      <c r="AQ124" s="74"/>
      <c r="AR124" s="74"/>
      <c r="AS124" s="74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</row>
    <row r="125" ht="15.75" customHeight="1" spans="1:57" x14ac:dyDescent="0.25">
      <c r="A125" s="6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69"/>
      <c r="R125" s="3"/>
      <c r="S125" s="3"/>
      <c r="T125" s="3"/>
      <c r="U125" s="3"/>
      <c r="V125" s="71"/>
      <c r="W125" s="72"/>
      <c r="X125" s="73"/>
      <c r="Y125" s="73"/>
      <c r="Z125" s="73"/>
      <c r="AA125" s="73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5"/>
      <c r="AO125" s="76"/>
      <c r="AP125" s="74"/>
      <c r="AQ125" s="74"/>
      <c r="AR125" s="74"/>
      <c r="AS125" s="74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</row>
    <row r="126" ht="15.75" customHeight="1" spans="1:57" x14ac:dyDescent="0.25">
      <c r="A126" s="6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69"/>
      <c r="R126" s="3"/>
      <c r="S126" s="3"/>
      <c r="T126" s="3"/>
      <c r="U126" s="3"/>
      <c r="V126" s="71"/>
      <c r="W126" s="72"/>
      <c r="X126" s="73"/>
      <c r="Y126" s="73"/>
      <c r="Z126" s="73"/>
      <c r="AA126" s="73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5"/>
      <c r="AO126" s="76"/>
      <c r="AP126" s="74"/>
      <c r="AQ126" s="74"/>
      <c r="AR126" s="74"/>
      <c r="AS126" s="74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</row>
    <row r="127" ht="15.75" customHeight="1" spans="1:57" x14ac:dyDescent="0.25">
      <c r="A127" s="6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69"/>
      <c r="R127" s="3"/>
      <c r="S127" s="3"/>
      <c r="T127" s="3"/>
      <c r="U127" s="3"/>
      <c r="V127" s="71"/>
      <c r="W127" s="72"/>
      <c r="X127" s="73"/>
      <c r="Y127" s="73"/>
      <c r="Z127" s="73"/>
      <c r="AA127" s="73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5"/>
      <c r="AO127" s="76"/>
      <c r="AP127" s="74"/>
      <c r="AQ127" s="74"/>
      <c r="AR127" s="74"/>
      <c r="AS127" s="74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</row>
    <row r="128" ht="15.75" customHeight="1" spans="1:57" x14ac:dyDescent="0.25">
      <c r="A128" s="6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69"/>
      <c r="R128" s="3"/>
      <c r="S128" s="3"/>
      <c r="T128" s="3"/>
      <c r="U128" s="3"/>
      <c r="V128" s="71"/>
      <c r="W128" s="72"/>
      <c r="X128" s="73"/>
      <c r="Y128" s="73"/>
      <c r="Z128" s="73"/>
      <c r="AA128" s="73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5"/>
      <c r="AO128" s="76"/>
      <c r="AP128" s="74"/>
      <c r="AQ128" s="74"/>
      <c r="AR128" s="74"/>
      <c r="AS128" s="74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</row>
    <row r="129" ht="15.75" customHeight="1" spans="1:57" x14ac:dyDescent="0.25">
      <c r="A129" s="6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69"/>
      <c r="R129" s="3"/>
      <c r="S129" s="3"/>
      <c r="T129" s="3"/>
      <c r="U129" s="3"/>
      <c r="V129" s="71"/>
      <c r="W129" s="72"/>
      <c r="X129" s="73"/>
      <c r="Y129" s="73"/>
      <c r="Z129" s="73"/>
      <c r="AA129" s="73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5"/>
      <c r="AO129" s="76"/>
      <c r="AP129" s="74"/>
      <c r="AQ129" s="74"/>
      <c r="AR129" s="74"/>
      <c r="AS129" s="74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</row>
    <row r="130" ht="15.75" customHeight="1" spans="1:57" x14ac:dyDescent="0.25">
      <c r="A130" s="6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69"/>
      <c r="R130" s="3"/>
      <c r="S130" s="3"/>
      <c r="T130" s="3"/>
      <c r="U130" s="3"/>
      <c r="V130" s="71"/>
      <c r="W130" s="72"/>
      <c r="X130" s="73"/>
      <c r="Y130" s="73"/>
      <c r="Z130" s="73"/>
      <c r="AA130" s="73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5"/>
      <c r="AO130" s="76"/>
      <c r="AP130" s="74"/>
      <c r="AQ130" s="74"/>
      <c r="AR130" s="74"/>
      <c r="AS130" s="74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</row>
    <row r="131" ht="15.75" customHeight="1" spans="1:57" x14ac:dyDescent="0.25">
      <c r="A131" s="6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69"/>
      <c r="R131" s="3"/>
      <c r="S131" s="3"/>
      <c r="T131" s="3"/>
      <c r="U131" s="3"/>
      <c r="V131" s="71"/>
      <c r="W131" s="72"/>
      <c r="X131" s="73"/>
      <c r="Y131" s="73"/>
      <c r="Z131" s="73"/>
      <c r="AA131" s="73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5"/>
      <c r="AO131" s="76"/>
      <c r="AP131" s="74"/>
      <c r="AQ131" s="74"/>
      <c r="AR131" s="74"/>
      <c r="AS131" s="74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</row>
    <row r="132" ht="15.75" customHeight="1" spans="1:57" x14ac:dyDescent="0.25">
      <c r="A132" s="6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69"/>
      <c r="R132" s="3"/>
      <c r="S132" s="3"/>
      <c r="T132" s="3"/>
      <c r="U132" s="3"/>
      <c r="V132" s="71"/>
      <c r="W132" s="72"/>
      <c r="X132" s="73"/>
      <c r="Y132" s="73"/>
      <c r="Z132" s="73"/>
      <c r="AA132" s="73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5"/>
      <c r="AO132" s="76"/>
      <c r="AP132" s="74"/>
      <c r="AQ132" s="74"/>
      <c r="AR132" s="74"/>
      <c r="AS132" s="74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</row>
    <row r="133" ht="15.75" customHeight="1" spans="1:57" x14ac:dyDescent="0.25">
      <c r="A133" s="6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69"/>
      <c r="R133" s="3"/>
      <c r="S133" s="3"/>
      <c r="T133" s="3"/>
      <c r="U133" s="3"/>
      <c r="V133" s="71"/>
      <c r="W133" s="72"/>
      <c r="X133" s="73"/>
      <c r="Y133" s="73"/>
      <c r="Z133" s="73"/>
      <c r="AA133" s="73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5"/>
      <c r="AO133" s="76"/>
      <c r="AP133" s="74"/>
      <c r="AQ133" s="74"/>
      <c r="AR133" s="74"/>
      <c r="AS133" s="74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</row>
    <row r="134" ht="15.75" customHeight="1" spans="1:57" x14ac:dyDescent="0.25">
      <c r="A134" s="6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69"/>
      <c r="R134" s="3"/>
      <c r="S134" s="3"/>
      <c r="T134" s="3"/>
      <c r="U134" s="3"/>
      <c r="V134" s="71"/>
      <c r="W134" s="72"/>
      <c r="X134" s="73"/>
      <c r="Y134" s="73"/>
      <c r="Z134" s="73"/>
      <c r="AA134" s="73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5"/>
      <c r="AO134" s="76"/>
      <c r="AP134" s="74"/>
      <c r="AQ134" s="74"/>
      <c r="AR134" s="74"/>
      <c r="AS134" s="74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</row>
    <row r="135" ht="15.75" customHeight="1" spans="1:57" x14ac:dyDescent="0.25">
      <c r="A135" s="6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69"/>
      <c r="R135" s="3"/>
      <c r="S135" s="3"/>
      <c r="T135" s="3"/>
      <c r="U135" s="3"/>
      <c r="V135" s="71"/>
      <c r="W135" s="72"/>
      <c r="X135" s="73"/>
      <c r="Y135" s="73"/>
      <c r="Z135" s="73"/>
      <c r="AA135" s="73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5"/>
      <c r="AO135" s="76"/>
      <c r="AP135" s="74"/>
      <c r="AQ135" s="74"/>
      <c r="AR135" s="74"/>
      <c r="AS135" s="74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ht="15.75" customHeight="1" spans="1:57" x14ac:dyDescent="0.25">
      <c r="A136" s="6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69"/>
      <c r="R136" s="3"/>
      <c r="S136" s="3"/>
      <c r="T136" s="3"/>
      <c r="U136" s="3"/>
      <c r="V136" s="71"/>
      <c r="W136" s="72"/>
      <c r="X136" s="73"/>
      <c r="Y136" s="73"/>
      <c r="Z136" s="73"/>
      <c r="AA136" s="73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5"/>
      <c r="AO136" s="76"/>
      <c r="AP136" s="74"/>
      <c r="AQ136" s="74"/>
      <c r="AR136" s="74"/>
      <c r="AS136" s="74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</row>
    <row r="137" ht="15.75" customHeight="1" spans="1:57" x14ac:dyDescent="0.25">
      <c r="A137" s="6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69"/>
      <c r="R137" s="3"/>
      <c r="S137" s="3"/>
      <c r="T137" s="3"/>
      <c r="U137" s="3"/>
      <c r="V137" s="71"/>
      <c r="W137" s="72"/>
      <c r="X137" s="73"/>
      <c r="Y137" s="73"/>
      <c r="Z137" s="73"/>
      <c r="AA137" s="73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5"/>
      <c r="AO137" s="76"/>
      <c r="AP137" s="74"/>
      <c r="AQ137" s="74"/>
      <c r="AR137" s="74"/>
      <c r="AS137" s="74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</row>
    <row r="138" ht="15.75" customHeight="1" spans="1:57" x14ac:dyDescent="0.25">
      <c r="A138" s="6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69"/>
      <c r="R138" s="3"/>
      <c r="S138" s="3"/>
      <c r="T138" s="3"/>
      <c r="U138" s="3"/>
      <c r="V138" s="71"/>
      <c r="W138" s="72"/>
      <c r="X138" s="73"/>
      <c r="Y138" s="73"/>
      <c r="Z138" s="73"/>
      <c r="AA138" s="73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5"/>
      <c r="AO138" s="76"/>
      <c r="AP138" s="74"/>
      <c r="AQ138" s="74"/>
      <c r="AR138" s="74"/>
      <c r="AS138" s="74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</row>
    <row r="139" ht="15.75" customHeight="1" spans="1:57" x14ac:dyDescent="0.25">
      <c r="A139" s="6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69"/>
      <c r="R139" s="3"/>
      <c r="S139" s="3"/>
      <c r="T139" s="3"/>
      <c r="U139" s="3"/>
      <c r="V139" s="71"/>
      <c r="W139" s="72"/>
      <c r="X139" s="73"/>
      <c r="Y139" s="73"/>
      <c r="Z139" s="73"/>
      <c r="AA139" s="73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5"/>
      <c r="AO139" s="76"/>
      <c r="AP139" s="74"/>
      <c r="AQ139" s="74"/>
      <c r="AR139" s="74"/>
      <c r="AS139" s="74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</row>
    <row r="140" ht="15.75" customHeight="1" spans="1:57" x14ac:dyDescent="0.25">
      <c r="A140" s="6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69"/>
      <c r="R140" s="3"/>
      <c r="S140" s="3"/>
      <c r="T140" s="3"/>
      <c r="U140" s="3"/>
      <c r="V140" s="71"/>
      <c r="W140" s="72"/>
      <c r="X140" s="73"/>
      <c r="Y140" s="73"/>
      <c r="Z140" s="73"/>
      <c r="AA140" s="73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5"/>
      <c r="AO140" s="76"/>
      <c r="AP140" s="74"/>
      <c r="AQ140" s="74"/>
      <c r="AR140" s="74"/>
      <c r="AS140" s="74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</row>
    <row r="141" ht="15.75" customHeight="1" spans="1:57" x14ac:dyDescent="0.25">
      <c r="A141" s="6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69"/>
      <c r="R141" s="3"/>
      <c r="S141" s="3"/>
      <c r="T141" s="3"/>
      <c r="U141" s="3"/>
      <c r="V141" s="71"/>
      <c r="W141" s="72"/>
      <c r="X141" s="73"/>
      <c r="Y141" s="73"/>
      <c r="Z141" s="73"/>
      <c r="AA141" s="73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5"/>
      <c r="AO141" s="76"/>
      <c r="AP141" s="74"/>
      <c r="AQ141" s="74"/>
      <c r="AR141" s="74"/>
      <c r="AS141" s="74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</row>
    <row r="142" ht="15.75" customHeight="1" spans="1:57" x14ac:dyDescent="0.25">
      <c r="A142" s="6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69"/>
      <c r="R142" s="3"/>
      <c r="S142" s="3"/>
      <c r="T142" s="3"/>
      <c r="U142" s="3"/>
      <c r="V142" s="71"/>
      <c r="W142" s="72"/>
      <c r="X142" s="73"/>
      <c r="Y142" s="73"/>
      <c r="Z142" s="73"/>
      <c r="AA142" s="73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5"/>
      <c r="AO142" s="76"/>
      <c r="AP142" s="74"/>
      <c r="AQ142" s="74"/>
      <c r="AR142" s="74"/>
      <c r="AS142" s="74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</row>
    <row r="143" ht="15.75" customHeight="1" spans="1:57" x14ac:dyDescent="0.25">
      <c r="A143" s="6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69"/>
      <c r="R143" s="3"/>
      <c r="S143" s="3"/>
      <c r="T143" s="3"/>
      <c r="U143" s="3"/>
      <c r="V143" s="71"/>
      <c r="W143" s="72"/>
      <c r="X143" s="73"/>
      <c r="Y143" s="73"/>
      <c r="Z143" s="73"/>
      <c r="AA143" s="73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5"/>
      <c r="AO143" s="76"/>
      <c r="AP143" s="74"/>
      <c r="AQ143" s="74"/>
      <c r="AR143" s="74"/>
      <c r="AS143" s="74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</row>
    <row r="144" ht="15.75" customHeight="1" spans="1:57" x14ac:dyDescent="0.25">
      <c r="A144" s="6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69"/>
      <c r="R144" s="3"/>
      <c r="S144" s="3"/>
      <c r="T144" s="3"/>
      <c r="U144" s="3"/>
      <c r="V144" s="71"/>
      <c r="W144" s="72"/>
      <c r="X144" s="73"/>
      <c r="Y144" s="73"/>
      <c r="Z144" s="73"/>
      <c r="AA144" s="73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5"/>
      <c r="AO144" s="76"/>
      <c r="AP144" s="74"/>
      <c r="AQ144" s="74"/>
      <c r="AR144" s="74"/>
      <c r="AS144" s="74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</row>
    <row r="145" ht="15.75" customHeight="1" spans="1:57" x14ac:dyDescent="0.25">
      <c r="A145" s="6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69"/>
      <c r="R145" s="3"/>
      <c r="S145" s="3"/>
      <c r="T145" s="3"/>
      <c r="U145" s="3"/>
      <c r="V145" s="71"/>
      <c r="W145" s="72"/>
      <c r="X145" s="73"/>
      <c r="Y145" s="73"/>
      <c r="Z145" s="73"/>
      <c r="AA145" s="73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5"/>
      <c r="AO145" s="76"/>
      <c r="AP145" s="74"/>
      <c r="AQ145" s="74"/>
      <c r="AR145" s="74"/>
      <c r="AS145" s="74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</row>
    <row r="146" ht="15.75" customHeight="1" spans="1:57" x14ac:dyDescent="0.25">
      <c r="A146" s="6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69"/>
      <c r="R146" s="3"/>
      <c r="S146" s="3"/>
      <c r="T146" s="3"/>
      <c r="U146" s="3"/>
      <c r="V146" s="71"/>
      <c r="W146" s="72"/>
      <c r="X146" s="73"/>
      <c r="Y146" s="73"/>
      <c r="Z146" s="73"/>
      <c r="AA146" s="73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5"/>
      <c r="AO146" s="76"/>
      <c r="AP146" s="74"/>
      <c r="AQ146" s="74"/>
      <c r="AR146" s="74"/>
      <c r="AS146" s="74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</row>
    <row r="147" ht="15.75" customHeight="1" spans="1:57" x14ac:dyDescent="0.25">
      <c r="A147" s="6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69"/>
      <c r="R147" s="3"/>
      <c r="S147" s="3"/>
      <c r="T147" s="3"/>
      <c r="U147" s="3"/>
      <c r="V147" s="71"/>
      <c r="W147" s="72"/>
      <c r="X147" s="73"/>
      <c r="Y147" s="73"/>
      <c r="Z147" s="73"/>
      <c r="AA147" s="73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5"/>
      <c r="AO147" s="76"/>
      <c r="AP147" s="74"/>
      <c r="AQ147" s="74"/>
      <c r="AR147" s="74"/>
      <c r="AS147" s="74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</row>
    <row r="148" ht="15.75" customHeight="1" spans="1:57" x14ac:dyDescent="0.25">
      <c r="A148" s="6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69"/>
      <c r="R148" s="3"/>
      <c r="S148" s="3"/>
      <c r="T148" s="3"/>
      <c r="U148" s="3"/>
      <c r="V148" s="71"/>
      <c r="W148" s="72"/>
      <c r="X148" s="73"/>
      <c r="Y148" s="73"/>
      <c r="Z148" s="73"/>
      <c r="AA148" s="73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5"/>
      <c r="AO148" s="76"/>
      <c r="AP148" s="74"/>
      <c r="AQ148" s="74"/>
      <c r="AR148" s="74"/>
      <c r="AS148" s="74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</row>
    <row r="149" ht="15.75" customHeight="1" spans="1:57" x14ac:dyDescent="0.25">
      <c r="A149" s="6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69"/>
      <c r="R149" s="3"/>
      <c r="S149" s="3"/>
      <c r="T149" s="3"/>
      <c r="U149" s="3"/>
      <c r="V149" s="71"/>
      <c r="W149" s="72"/>
      <c r="X149" s="73"/>
      <c r="Y149" s="73"/>
      <c r="Z149" s="73"/>
      <c r="AA149" s="73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5"/>
      <c r="AO149" s="76"/>
      <c r="AP149" s="74"/>
      <c r="AQ149" s="74"/>
      <c r="AR149" s="74"/>
      <c r="AS149" s="74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</row>
    <row r="150" ht="15.75" customHeight="1" spans="1:57" x14ac:dyDescent="0.25">
      <c r="A150" s="6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69"/>
      <c r="R150" s="3"/>
      <c r="S150" s="3"/>
      <c r="T150" s="3"/>
      <c r="U150" s="3"/>
      <c r="V150" s="71"/>
      <c r="W150" s="72"/>
      <c r="X150" s="73"/>
      <c r="Y150" s="73"/>
      <c r="Z150" s="73"/>
      <c r="AA150" s="73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5"/>
      <c r="AO150" s="76"/>
      <c r="AP150" s="74"/>
      <c r="AQ150" s="74"/>
      <c r="AR150" s="74"/>
      <c r="AS150" s="74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</row>
    <row r="151" ht="15.75" customHeight="1" spans="1:57" x14ac:dyDescent="0.25">
      <c r="A151" s="6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69"/>
      <c r="R151" s="3"/>
      <c r="S151" s="3"/>
      <c r="T151" s="3"/>
      <c r="U151" s="3"/>
      <c r="V151" s="71"/>
      <c r="W151" s="72"/>
      <c r="X151" s="73"/>
      <c r="Y151" s="73"/>
      <c r="Z151" s="73"/>
      <c r="AA151" s="73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5"/>
      <c r="AO151" s="76"/>
      <c r="AP151" s="74"/>
      <c r="AQ151" s="74"/>
      <c r="AR151" s="74"/>
      <c r="AS151" s="74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</row>
    <row r="152" ht="15.75" customHeight="1" spans="1:57" x14ac:dyDescent="0.25">
      <c r="A152" s="6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69"/>
      <c r="R152" s="3"/>
      <c r="S152" s="3"/>
      <c r="T152" s="3"/>
      <c r="U152" s="3"/>
      <c r="V152" s="71"/>
      <c r="W152" s="72"/>
      <c r="X152" s="73"/>
      <c r="Y152" s="73"/>
      <c r="Z152" s="73"/>
      <c r="AA152" s="73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5"/>
      <c r="AO152" s="76"/>
      <c r="AP152" s="74"/>
      <c r="AQ152" s="74"/>
      <c r="AR152" s="74"/>
      <c r="AS152" s="74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</row>
    <row r="153" ht="15.75" customHeight="1" spans="1:57" x14ac:dyDescent="0.25">
      <c r="A153" s="6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69"/>
      <c r="R153" s="3"/>
      <c r="S153" s="3"/>
      <c r="T153" s="3"/>
      <c r="U153" s="3"/>
      <c r="V153" s="71"/>
      <c r="W153" s="72"/>
      <c r="X153" s="73"/>
      <c r="Y153" s="73"/>
      <c r="Z153" s="73"/>
      <c r="AA153" s="73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5"/>
      <c r="AO153" s="76"/>
      <c r="AP153" s="74"/>
      <c r="AQ153" s="74"/>
      <c r="AR153" s="74"/>
      <c r="AS153" s="74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</row>
    <row r="154" ht="15.75" customHeight="1" spans="1:57" x14ac:dyDescent="0.25">
      <c r="A154" s="6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69"/>
      <c r="R154" s="3"/>
      <c r="S154" s="3"/>
      <c r="T154" s="3"/>
      <c r="U154" s="3"/>
      <c r="V154" s="71"/>
      <c r="W154" s="72"/>
      <c r="X154" s="73"/>
      <c r="Y154" s="73"/>
      <c r="Z154" s="73"/>
      <c r="AA154" s="73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5"/>
      <c r="AO154" s="76"/>
      <c r="AP154" s="74"/>
      <c r="AQ154" s="74"/>
      <c r="AR154" s="74"/>
      <c r="AS154" s="74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</row>
    <row r="155" ht="15.75" customHeight="1" spans="1:57" x14ac:dyDescent="0.25">
      <c r="A155" s="6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69"/>
      <c r="R155" s="3"/>
      <c r="S155" s="3"/>
      <c r="T155" s="3"/>
      <c r="U155" s="3"/>
      <c r="V155" s="71"/>
      <c r="W155" s="72"/>
      <c r="X155" s="73"/>
      <c r="Y155" s="73"/>
      <c r="Z155" s="73"/>
      <c r="AA155" s="73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5"/>
      <c r="AO155" s="76"/>
      <c r="AP155" s="74"/>
      <c r="AQ155" s="74"/>
      <c r="AR155" s="74"/>
      <c r="AS155" s="74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</row>
    <row r="156" ht="15.75" customHeight="1" spans="1:57" x14ac:dyDescent="0.25">
      <c r="A156" s="6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69"/>
      <c r="R156" s="3"/>
      <c r="S156" s="3"/>
      <c r="T156" s="3"/>
      <c r="U156" s="3"/>
      <c r="V156" s="71"/>
      <c r="W156" s="72"/>
      <c r="X156" s="73"/>
      <c r="Y156" s="73"/>
      <c r="Z156" s="73"/>
      <c r="AA156" s="73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5"/>
      <c r="AO156" s="76"/>
      <c r="AP156" s="74"/>
      <c r="AQ156" s="74"/>
      <c r="AR156" s="74"/>
      <c r="AS156" s="74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</row>
    <row r="157" ht="15.75" customHeight="1" spans="1:57" x14ac:dyDescent="0.25">
      <c r="A157" s="6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69"/>
      <c r="R157" s="3"/>
      <c r="S157" s="3"/>
      <c r="T157" s="3"/>
      <c r="U157" s="3"/>
      <c r="V157" s="71"/>
      <c r="W157" s="72"/>
      <c r="X157" s="73"/>
      <c r="Y157" s="73"/>
      <c r="Z157" s="73"/>
      <c r="AA157" s="73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5"/>
      <c r="AO157" s="76"/>
      <c r="AP157" s="74"/>
      <c r="AQ157" s="74"/>
      <c r="AR157" s="74"/>
      <c r="AS157" s="74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ht="15.75" customHeight="1" spans="1:57" x14ac:dyDescent="0.25">
      <c r="A158" s="6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69"/>
      <c r="R158" s="3"/>
      <c r="S158" s="3"/>
      <c r="T158" s="3"/>
      <c r="U158" s="3"/>
      <c r="V158" s="71"/>
      <c r="W158" s="72"/>
      <c r="X158" s="73"/>
      <c r="Y158" s="73"/>
      <c r="Z158" s="73"/>
      <c r="AA158" s="73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5"/>
      <c r="AO158" s="76"/>
      <c r="AP158" s="74"/>
      <c r="AQ158" s="74"/>
      <c r="AR158" s="74"/>
      <c r="AS158" s="74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ht="15.75" customHeight="1" spans="1:57" x14ac:dyDescent="0.25">
      <c r="A159" s="6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69"/>
      <c r="R159" s="3"/>
      <c r="S159" s="3"/>
      <c r="T159" s="3"/>
      <c r="U159" s="3"/>
      <c r="V159" s="71"/>
      <c r="W159" s="72"/>
      <c r="X159" s="73"/>
      <c r="Y159" s="73"/>
      <c r="Z159" s="73"/>
      <c r="AA159" s="73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5"/>
      <c r="AO159" s="76"/>
      <c r="AP159" s="74"/>
      <c r="AQ159" s="74"/>
      <c r="AR159" s="74"/>
      <c r="AS159" s="74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ht="15.75" customHeight="1" spans="1:57" x14ac:dyDescent="0.25">
      <c r="A160" s="6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69"/>
      <c r="R160" s="3"/>
      <c r="S160" s="3"/>
      <c r="T160" s="3"/>
      <c r="U160" s="3"/>
      <c r="V160" s="71"/>
      <c r="W160" s="72"/>
      <c r="X160" s="73"/>
      <c r="Y160" s="73"/>
      <c r="Z160" s="73"/>
      <c r="AA160" s="73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5"/>
      <c r="AO160" s="76"/>
      <c r="AP160" s="74"/>
      <c r="AQ160" s="74"/>
      <c r="AR160" s="74"/>
      <c r="AS160" s="74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ht="15.75" customHeight="1" spans="1:57" x14ac:dyDescent="0.25">
      <c r="A161" s="6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69"/>
      <c r="R161" s="3"/>
      <c r="S161" s="3"/>
      <c r="T161" s="3"/>
      <c r="U161" s="3"/>
      <c r="V161" s="71"/>
      <c r="W161" s="72"/>
      <c r="X161" s="73"/>
      <c r="Y161" s="73"/>
      <c r="Z161" s="73"/>
      <c r="AA161" s="73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5"/>
      <c r="AO161" s="76"/>
      <c r="AP161" s="74"/>
      <c r="AQ161" s="74"/>
      <c r="AR161" s="74"/>
      <c r="AS161" s="74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</row>
    <row r="162" ht="15.75" customHeight="1" spans="1:57" x14ac:dyDescent="0.25">
      <c r="A162" s="6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69"/>
      <c r="R162" s="3"/>
      <c r="S162" s="3"/>
      <c r="T162" s="3"/>
      <c r="U162" s="3"/>
      <c r="V162" s="71"/>
      <c r="W162" s="72"/>
      <c r="X162" s="73"/>
      <c r="Y162" s="73"/>
      <c r="Z162" s="73"/>
      <c r="AA162" s="73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5"/>
      <c r="AO162" s="76"/>
      <c r="AP162" s="74"/>
      <c r="AQ162" s="74"/>
      <c r="AR162" s="74"/>
      <c r="AS162" s="74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</row>
    <row r="163" ht="15.75" customHeight="1" spans="1:57" x14ac:dyDescent="0.25">
      <c r="A163" s="6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69"/>
      <c r="R163" s="3"/>
      <c r="S163" s="3"/>
      <c r="T163" s="3"/>
      <c r="U163" s="3"/>
      <c r="V163" s="71"/>
      <c r="W163" s="72"/>
      <c r="X163" s="73"/>
      <c r="Y163" s="73"/>
      <c r="Z163" s="73"/>
      <c r="AA163" s="73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5"/>
      <c r="AO163" s="76"/>
      <c r="AP163" s="74"/>
      <c r="AQ163" s="74"/>
      <c r="AR163" s="74"/>
      <c r="AS163" s="74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</row>
    <row r="164" ht="15.75" customHeight="1" spans="1:57" x14ac:dyDescent="0.25">
      <c r="A164" s="6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69"/>
      <c r="R164" s="3"/>
      <c r="S164" s="3"/>
      <c r="T164" s="3"/>
      <c r="U164" s="3"/>
      <c r="V164" s="71"/>
      <c r="W164" s="72"/>
      <c r="X164" s="73"/>
      <c r="Y164" s="73"/>
      <c r="Z164" s="73"/>
      <c r="AA164" s="73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5"/>
      <c r="AO164" s="76"/>
      <c r="AP164" s="74"/>
      <c r="AQ164" s="74"/>
      <c r="AR164" s="74"/>
      <c r="AS164" s="74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</row>
    <row r="165" ht="15.75" customHeight="1" spans="1:57" x14ac:dyDescent="0.25">
      <c r="A165" s="6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69"/>
      <c r="R165" s="3"/>
      <c r="S165" s="3"/>
      <c r="T165" s="3"/>
      <c r="U165" s="3"/>
      <c r="V165" s="71"/>
      <c r="W165" s="72"/>
      <c r="X165" s="73"/>
      <c r="Y165" s="73"/>
      <c r="Z165" s="73"/>
      <c r="AA165" s="73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5"/>
      <c r="AO165" s="76"/>
      <c r="AP165" s="74"/>
      <c r="AQ165" s="74"/>
      <c r="AR165" s="74"/>
      <c r="AS165" s="74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</row>
    <row r="166" ht="15.75" customHeight="1" spans="1:57" x14ac:dyDescent="0.25">
      <c r="A166" s="6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69"/>
      <c r="R166" s="3"/>
      <c r="S166" s="3"/>
      <c r="T166" s="3"/>
      <c r="U166" s="3"/>
      <c r="V166" s="71"/>
      <c r="W166" s="72"/>
      <c r="X166" s="73"/>
      <c r="Y166" s="73"/>
      <c r="Z166" s="73"/>
      <c r="AA166" s="73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5"/>
      <c r="AO166" s="76"/>
      <c r="AP166" s="74"/>
      <c r="AQ166" s="74"/>
      <c r="AR166" s="74"/>
      <c r="AS166" s="74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</row>
    <row r="167" ht="15.75" customHeight="1" spans="1:57" x14ac:dyDescent="0.25">
      <c r="A167" s="6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69"/>
      <c r="R167" s="3"/>
      <c r="S167" s="3"/>
      <c r="T167" s="3"/>
      <c r="U167" s="3"/>
      <c r="V167" s="71"/>
      <c r="W167" s="72"/>
      <c r="X167" s="73"/>
      <c r="Y167" s="73"/>
      <c r="Z167" s="73"/>
      <c r="AA167" s="73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5"/>
      <c r="AO167" s="76"/>
      <c r="AP167" s="74"/>
      <c r="AQ167" s="74"/>
      <c r="AR167" s="74"/>
      <c r="AS167" s="74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</row>
    <row r="168" ht="15.75" customHeight="1" spans="1:57" x14ac:dyDescent="0.25">
      <c r="A168" s="6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69"/>
      <c r="R168" s="3"/>
      <c r="S168" s="3"/>
      <c r="T168" s="3"/>
      <c r="U168" s="3"/>
      <c r="V168" s="71"/>
      <c r="W168" s="72"/>
      <c r="X168" s="73"/>
      <c r="Y168" s="73"/>
      <c r="Z168" s="73"/>
      <c r="AA168" s="73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5"/>
      <c r="AO168" s="76"/>
      <c r="AP168" s="74"/>
      <c r="AQ168" s="74"/>
      <c r="AR168" s="74"/>
      <c r="AS168" s="74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</row>
    <row r="169" ht="15.75" customHeight="1" spans="1:57" x14ac:dyDescent="0.25">
      <c r="A169" s="6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69"/>
      <c r="R169" s="3"/>
      <c r="S169" s="3"/>
      <c r="T169" s="3"/>
      <c r="U169" s="3"/>
      <c r="V169" s="71"/>
      <c r="W169" s="72"/>
      <c r="X169" s="73"/>
      <c r="Y169" s="73"/>
      <c r="Z169" s="73"/>
      <c r="AA169" s="73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5"/>
      <c r="AO169" s="76"/>
      <c r="AP169" s="74"/>
      <c r="AQ169" s="74"/>
      <c r="AR169" s="74"/>
      <c r="AS169" s="74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</row>
    <row r="170" ht="15.75" customHeight="1" spans="1:57" x14ac:dyDescent="0.25">
      <c r="A170" s="6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69"/>
      <c r="R170" s="3"/>
      <c r="S170" s="3"/>
      <c r="T170" s="3"/>
      <c r="U170" s="3"/>
      <c r="V170" s="71"/>
      <c r="W170" s="72"/>
      <c r="X170" s="73"/>
      <c r="Y170" s="73"/>
      <c r="Z170" s="73"/>
      <c r="AA170" s="73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5"/>
      <c r="AO170" s="76"/>
      <c r="AP170" s="74"/>
      <c r="AQ170" s="74"/>
      <c r="AR170" s="74"/>
      <c r="AS170" s="74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</row>
    <row r="171" ht="15.75" customHeight="1" spans="1:57" x14ac:dyDescent="0.25">
      <c r="A171" s="6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69"/>
      <c r="R171" s="3"/>
      <c r="S171" s="3"/>
      <c r="T171" s="3"/>
      <c r="U171" s="3"/>
      <c r="V171" s="71"/>
      <c r="W171" s="72"/>
      <c r="X171" s="73"/>
      <c r="Y171" s="73"/>
      <c r="Z171" s="73"/>
      <c r="AA171" s="73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5"/>
      <c r="AO171" s="76"/>
      <c r="AP171" s="74"/>
      <c r="AQ171" s="74"/>
      <c r="AR171" s="74"/>
      <c r="AS171" s="74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</row>
    <row r="172" ht="15.75" customHeight="1" spans="1:57" x14ac:dyDescent="0.25">
      <c r="A172" s="6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69"/>
      <c r="R172" s="3"/>
      <c r="S172" s="3"/>
      <c r="T172" s="3"/>
      <c r="U172" s="3"/>
      <c r="V172" s="71"/>
      <c r="W172" s="72"/>
      <c r="X172" s="73"/>
      <c r="Y172" s="73"/>
      <c r="Z172" s="73"/>
      <c r="AA172" s="73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5"/>
      <c r="AO172" s="76"/>
      <c r="AP172" s="74"/>
      <c r="AQ172" s="74"/>
      <c r="AR172" s="74"/>
      <c r="AS172" s="74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</row>
    <row r="173" ht="15.75" customHeight="1" spans="1:57" x14ac:dyDescent="0.25">
      <c r="A173" s="6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69"/>
      <c r="R173" s="3"/>
      <c r="S173" s="3"/>
      <c r="T173" s="3"/>
      <c r="U173" s="3"/>
      <c r="V173" s="71"/>
      <c r="W173" s="72"/>
      <c r="X173" s="73"/>
      <c r="Y173" s="73"/>
      <c r="Z173" s="73"/>
      <c r="AA173" s="73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5"/>
      <c r="AO173" s="76"/>
      <c r="AP173" s="74"/>
      <c r="AQ173" s="74"/>
      <c r="AR173" s="74"/>
      <c r="AS173" s="74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</row>
    <row r="174" ht="15.75" customHeight="1" spans="1:57" x14ac:dyDescent="0.25">
      <c r="A174" s="6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69"/>
      <c r="R174" s="3"/>
      <c r="S174" s="3"/>
      <c r="T174" s="3"/>
      <c r="U174" s="3"/>
      <c r="V174" s="71"/>
      <c r="W174" s="72"/>
      <c r="X174" s="73"/>
      <c r="Y174" s="73"/>
      <c r="Z174" s="73"/>
      <c r="AA174" s="73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5"/>
      <c r="AO174" s="76"/>
      <c r="AP174" s="74"/>
      <c r="AQ174" s="74"/>
      <c r="AR174" s="74"/>
      <c r="AS174" s="74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</row>
    <row r="175" ht="15.75" customHeight="1" spans="1:57" x14ac:dyDescent="0.25">
      <c r="A175" s="6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69"/>
      <c r="R175" s="3"/>
      <c r="S175" s="3"/>
      <c r="T175" s="3"/>
      <c r="U175" s="3"/>
      <c r="V175" s="71"/>
      <c r="W175" s="72"/>
      <c r="X175" s="73"/>
      <c r="Y175" s="73"/>
      <c r="Z175" s="73"/>
      <c r="AA175" s="73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5"/>
      <c r="AO175" s="76"/>
      <c r="AP175" s="74"/>
      <c r="AQ175" s="74"/>
      <c r="AR175" s="74"/>
      <c r="AS175" s="74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</row>
    <row r="176" ht="15.75" customHeight="1" spans="1:57" x14ac:dyDescent="0.25">
      <c r="A176" s="6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69"/>
      <c r="R176" s="3"/>
      <c r="S176" s="3"/>
      <c r="T176" s="3"/>
      <c r="U176" s="3"/>
      <c r="V176" s="71"/>
      <c r="W176" s="72"/>
      <c r="X176" s="73"/>
      <c r="Y176" s="73"/>
      <c r="Z176" s="73"/>
      <c r="AA176" s="73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5"/>
      <c r="AO176" s="76"/>
      <c r="AP176" s="74"/>
      <c r="AQ176" s="74"/>
      <c r="AR176" s="74"/>
      <c r="AS176" s="74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</row>
    <row r="177" ht="15.75" customHeight="1" spans="1:57" x14ac:dyDescent="0.25">
      <c r="A177" s="6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69"/>
      <c r="R177" s="3"/>
      <c r="S177" s="3"/>
      <c r="T177" s="3"/>
      <c r="U177" s="3"/>
      <c r="V177" s="71"/>
      <c r="W177" s="72"/>
      <c r="X177" s="73"/>
      <c r="Y177" s="73"/>
      <c r="Z177" s="73"/>
      <c r="AA177" s="73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5"/>
      <c r="AO177" s="76"/>
      <c r="AP177" s="74"/>
      <c r="AQ177" s="74"/>
      <c r="AR177" s="74"/>
      <c r="AS177" s="74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</row>
    <row r="178" ht="15.75" customHeight="1" spans="1:57" x14ac:dyDescent="0.25">
      <c r="A178" s="6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69"/>
      <c r="R178" s="3"/>
      <c r="S178" s="3"/>
      <c r="T178" s="3"/>
      <c r="U178" s="3"/>
      <c r="V178" s="71"/>
      <c r="W178" s="72"/>
      <c r="X178" s="73"/>
      <c r="Y178" s="73"/>
      <c r="Z178" s="73"/>
      <c r="AA178" s="73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5"/>
      <c r="AO178" s="76"/>
      <c r="AP178" s="74"/>
      <c r="AQ178" s="74"/>
      <c r="AR178" s="74"/>
      <c r="AS178" s="74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</row>
    <row r="179" ht="15.75" customHeight="1" spans="1:57" x14ac:dyDescent="0.25">
      <c r="A179" s="6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69"/>
      <c r="R179" s="3"/>
      <c r="S179" s="3"/>
      <c r="T179" s="3"/>
      <c r="U179" s="3"/>
      <c r="V179" s="71"/>
      <c r="W179" s="72"/>
      <c r="X179" s="73"/>
      <c r="Y179" s="73"/>
      <c r="Z179" s="73"/>
      <c r="AA179" s="73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5"/>
      <c r="AO179" s="76"/>
      <c r="AP179" s="74"/>
      <c r="AQ179" s="74"/>
      <c r="AR179" s="74"/>
      <c r="AS179" s="74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</row>
    <row r="180" ht="15.75" customHeight="1" spans="1:57" x14ac:dyDescent="0.25">
      <c r="A180" s="6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69"/>
      <c r="R180" s="3"/>
      <c r="S180" s="3"/>
      <c r="T180" s="3"/>
      <c r="U180" s="3"/>
      <c r="V180" s="71"/>
      <c r="W180" s="72"/>
      <c r="X180" s="73"/>
      <c r="Y180" s="73"/>
      <c r="Z180" s="73"/>
      <c r="AA180" s="73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5"/>
      <c r="AO180" s="76"/>
      <c r="AP180" s="74"/>
      <c r="AQ180" s="74"/>
      <c r="AR180" s="74"/>
      <c r="AS180" s="74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</row>
    <row r="181" ht="15.75" customHeight="1" spans="1:57" x14ac:dyDescent="0.25">
      <c r="A181" s="6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69"/>
      <c r="R181" s="3"/>
      <c r="S181" s="3"/>
      <c r="T181" s="3"/>
      <c r="U181" s="3"/>
      <c r="V181" s="71"/>
      <c r="W181" s="72"/>
      <c r="X181" s="73"/>
      <c r="Y181" s="73"/>
      <c r="Z181" s="73"/>
      <c r="AA181" s="73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5"/>
      <c r="AO181" s="76"/>
      <c r="AP181" s="74"/>
      <c r="AQ181" s="74"/>
      <c r="AR181" s="74"/>
      <c r="AS181" s="74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</row>
    <row r="182" ht="15.75" customHeight="1" spans="1:57" x14ac:dyDescent="0.25">
      <c r="A182" s="6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69"/>
      <c r="R182" s="3"/>
      <c r="S182" s="3"/>
      <c r="T182" s="3"/>
      <c r="U182" s="3"/>
      <c r="V182" s="71"/>
      <c r="W182" s="72"/>
      <c r="X182" s="73"/>
      <c r="Y182" s="73"/>
      <c r="Z182" s="73"/>
      <c r="AA182" s="73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5"/>
      <c r="AO182" s="76"/>
      <c r="AP182" s="74"/>
      <c r="AQ182" s="74"/>
      <c r="AR182" s="74"/>
      <c r="AS182" s="74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</row>
    <row r="183" ht="15.75" customHeight="1" spans="1:57" x14ac:dyDescent="0.25">
      <c r="A183" s="6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69"/>
      <c r="R183" s="3"/>
      <c r="S183" s="3"/>
      <c r="T183" s="3"/>
      <c r="U183" s="3"/>
      <c r="V183" s="71"/>
      <c r="W183" s="72"/>
      <c r="X183" s="73"/>
      <c r="Y183" s="73"/>
      <c r="Z183" s="73"/>
      <c r="AA183" s="73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5"/>
      <c r="AO183" s="76"/>
      <c r="AP183" s="74"/>
      <c r="AQ183" s="74"/>
      <c r="AR183" s="74"/>
      <c r="AS183" s="74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</row>
    <row r="184" ht="15.75" customHeight="1" spans="1:57" x14ac:dyDescent="0.25">
      <c r="A184" s="6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69"/>
      <c r="R184" s="3"/>
      <c r="S184" s="3"/>
      <c r="T184" s="3"/>
      <c r="U184" s="3"/>
      <c r="V184" s="71"/>
      <c r="W184" s="72"/>
      <c r="X184" s="73"/>
      <c r="Y184" s="73"/>
      <c r="Z184" s="73"/>
      <c r="AA184" s="73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5"/>
      <c r="AO184" s="76"/>
      <c r="AP184" s="74"/>
      <c r="AQ184" s="74"/>
      <c r="AR184" s="74"/>
      <c r="AS184" s="74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</row>
    <row r="185" ht="15.75" customHeight="1" spans="1:57" x14ac:dyDescent="0.25">
      <c r="A185" s="6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69"/>
      <c r="R185" s="3"/>
      <c r="S185" s="3"/>
      <c r="T185" s="3"/>
      <c r="U185" s="3"/>
      <c r="V185" s="71"/>
      <c r="W185" s="72"/>
      <c r="X185" s="73"/>
      <c r="Y185" s="73"/>
      <c r="Z185" s="73"/>
      <c r="AA185" s="73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5"/>
      <c r="AO185" s="76"/>
      <c r="AP185" s="74"/>
      <c r="AQ185" s="74"/>
      <c r="AR185" s="74"/>
      <c r="AS185" s="74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</row>
    <row r="186" ht="15.75" customHeight="1" spans="1:57" x14ac:dyDescent="0.25">
      <c r="A186" s="6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69"/>
      <c r="R186" s="3"/>
      <c r="S186" s="3"/>
      <c r="T186" s="3"/>
      <c r="U186" s="3"/>
      <c r="V186" s="71"/>
      <c r="W186" s="72"/>
      <c r="X186" s="73"/>
      <c r="Y186" s="73"/>
      <c r="Z186" s="73"/>
      <c r="AA186" s="73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5"/>
      <c r="AO186" s="76"/>
      <c r="AP186" s="74"/>
      <c r="AQ186" s="74"/>
      <c r="AR186" s="74"/>
      <c r="AS186" s="74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</row>
    <row r="187" ht="15.75" customHeight="1" spans="1:57" x14ac:dyDescent="0.25">
      <c r="A187" s="6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69"/>
      <c r="R187" s="3"/>
      <c r="S187" s="3"/>
      <c r="T187" s="3"/>
      <c r="U187" s="3"/>
      <c r="V187" s="71"/>
      <c r="W187" s="72"/>
      <c r="X187" s="73"/>
      <c r="Y187" s="73"/>
      <c r="Z187" s="73"/>
      <c r="AA187" s="73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5"/>
      <c r="AO187" s="76"/>
      <c r="AP187" s="74"/>
      <c r="AQ187" s="74"/>
      <c r="AR187" s="74"/>
      <c r="AS187" s="74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</row>
    <row r="188" ht="15.75" customHeight="1" spans="1:57" x14ac:dyDescent="0.25">
      <c r="A188" s="6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69"/>
      <c r="R188" s="3"/>
      <c r="S188" s="3"/>
      <c r="T188" s="3"/>
      <c r="U188" s="3"/>
      <c r="V188" s="71"/>
      <c r="W188" s="72"/>
      <c r="X188" s="73"/>
      <c r="Y188" s="73"/>
      <c r="Z188" s="73"/>
      <c r="AA188" s="73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5"/>
      <c r="AO188" s="76"/>
      <c r="AP188" s="74"/>
      <c r="AQ188" s="74"/>
      <c r="AR188" s="74"/>
      <c r="AS188" s="74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</row>
    <row r="189" ht="15.75" customHeight="1" spans="1:57" x14ac:dyDescent="0.25">
      <c r="A189" s="6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69"/>
      <c r="R189" s="3"/>
      <c r="S189" s="3"/>
      <c r="T189" s="3"/>
      <c r="U189" s="3"/>
      <c r="V189" s="71"/>
      <c r="W189" s="72"/>
      <c r="X189" s="73"/>
      <c r="Y189" s="73"/>
      <c r="Z189" s="73"/>
      <c r="AA189" s="73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5"/>
      <c r="AO189" s="76"/>
      <c r="AP189" s="74"/>
      <c r="AQ189" s="74"/>
      <c r="AR189" s="74"/>
      <c r="AS189" s="74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</row>
    <row r="190" ht="15.75" customHeight="1" spans="1:57" x14ac:dyDescent="0.25">
      <c r="A190" s="6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69"/>
      <c r="R190" s="3"/>
      <c r="S190" s="3"/>
      <c r="T190" s="3"/>
      <c r="U190" s="3"/>
      <c r="V190" s="71"/>
      <c r="W190" s="72"/>
      <c r="X190" s="73"/>
      <c r="Y190" s="73"/>
      <c r="Z190" s="73"/>
      <c r="AA190" s="73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5"/>
      <c r="AO190" s="76"/>
      <c r="AP190" s="74"/>
      <c r="AQ190" s="74"/>
      <c r="AR190" s="74"/>
      <c r="AS190" s="74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</row>
    <row r="191" ht="15.75" customHeight="1" spans="1:57" x14ac:dyDescent="0.25">
      <c r="A191" s="6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69"/>
      <c r="R191" s="3"/>
      <c r="S191" s="3"/>
      <c r="T191" s="3"/>
      <c r="U191" s="3"/>
      <c r="V191" s="71"/>
      <c r="W191" s="72"/>
      <c r="X191" s="73"/>
      <c r="Y191" s="73"/>
      <c r="Z191" s="73"/>
      <c r="AA191" s="73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5"/>
      <c r="AO191" s="76"/>
      <c r="AP191" s="74"/>
      <c r="AQ191" s="74"/>
      <c r="AR191" s="74"/>
      <c r="AS191" s="74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</row>
    <row r="192" ht="15.75" customHeight="1" spans="1:57" x14ac:dyDescent="0.25">
      <c r="A192" s="6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69"/>
      <c r="R192" s="3"/>
      <c r="S192" s="3"/>
      <c r="T192" s="3"/>
      <c r="U192" s="3"/>
      <c r="V192" s="71"/>
      <c r="W192" s="72"/>
      <c r="X192" s="73"/>
      <c r="Y192" s="73"/>
      <c r="Z192" s="73"/>
      <c r="AA192" s="73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5"/>
      <c r="AO192" s="76"/>
      <c r="AP192" s="74"/>
      <c r="AQ192" s="74"/>
      <c r="AR192" s="74"/>
      <c r="AS192" s="74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</row>
    <row r="193" ht="15.75" customHeight="1" spans="1:57" x14ac:dyDescent="0.25">
      <c r="A193" s="6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69"/>
      <c r="R193" s="3"/>
      <c r="S193" s="3"/>
      <c r="T193" s="3"/>
      <c r="U193" s="3"/>
      <c r="V193" s="71"/>
      <c r="W193" s="72"/>
      <c r="X193" s="73"/>
      <c r="Y193" s="73"/>
      <c r="Z193" s="73"/>
      <c r="AA193" s="73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5"/>
      <c r="AO193" s="76"/>
      <c r="AP193" s="74"/>
      <c r="AQ193" s="74"/>
      <c r="AR193" s="74"/>
      <c r="AS193" s="74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</row>
    <row r="194" ht="15.75" customHeight="1" spans="1:57" x14ac:dyDescent="0.25">
      <c r="A194" s="6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69"/>
      <c r="R194" s="3"/>
      <c r="S194" s="3"/>
      <c r="T194" s="3"/>
      <c r="U194" s="3"/>
      <c r="V194" s="71"/>
      <c r="W194" s="72"/>
      <c r="X194" s="73"/>
      <c r="Y194" s="73"/>
      <c r="Z194" s="73"/>
      <c r="AA194" s="73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5"/>
      <c r="AO194" s="76"/>
      <c r="AP194" s="74"/>
      <c r="AQ194" s="74"/>
      <c r="AR194" s="74"/>
      <c r="AS194" s="74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</row>
    <row r="195" ht="15.75" customHeight="1" spans="1:57" x14ac:dyDescent="0.25">
      <c r="A195" s="6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69"/>
      <c r="R195" s="3"/>
      <c r="S195" s="3"/>
      <c r="T195" s="3"/>
      <c r="U195" s="3"/>
      <c r="V195" s="71"/>
      <c r="W195" s="72"/>
      <c r="X195" s="73"/>
      <c r="Y195" s="73"/>
      <c r="Z195" s="73"/>
      <c r="AA195" s="73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5"/>
      <c r="AO195" s="76"/>
      <c r="AP195" s="74"/>
      <c r="AQ195" s="74"/>
      <c r="AR195" s="74"/>
      <c r="AS195" s="74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</row>
    <row r="196" ht="15.75" customHeight="1" spans="1:57" x14ac:dyDescent="0.25">
      <c r="A196" s="6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69"/>
      <c r="R196" s="3"/>
      <c r="S196" s="3"/>
      <c r="T196" s="3"/>
      <c r="U196" s="3"/>
      <c r="V196" s="71"/>
      <c r="W196" s="72"/>
      <c r="X196" s="73"/>
      <c r="Y196" s="73"/>
      <c r="Z196" s="73"/>
      <c r="AA196" s="73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5"/>
      <c r="AO196" s="76"/>
      <c r="AP196" s="74"/>
      <c r="AQ196" s="74"/>
      <c r="AR196" s="74"/>
      <c r="AS196" s="74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</row>
    <row r="197" ht="15.75" customHeight="1" spans="1:57" x14ac:dyDescent="0.25">
      <c r="A197" s="6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69"/>
      <c r="R197" s="3"/>
      <c r="S197" s="3"/>
      <c r="T197" s="3"/>
      <c r="U197" s="3"/>
      <c r="V197" s="71"/>
      <c r="W197" s="72"/>
      <c r="X197" s="73"/>
      <c r="Y197" s="73"/>
      <c r="Z197" s="73"/>
      <c r="AA197" s="73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5"/>
      <c r="AO197" s="76"/>
      <c r="AP197" s="74"/>
      <c r="AQ197" s="74"/>
      <c r="AR197" s="74"/>
      <c r="AS197" s="74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</row>
    <row r="198" ht="15.75" customHeight="1" spans="1:57" x14ac:dyDescent="0.25">
      <c r="A198" s="6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69"/>
      <c r="R198" s="3"/>
      <c r="S198" s="3"/>
      <c r="T198" s="3"/>
      <c r="U198" s="3"/>
      <c r="V198" s="71"/>
      <c r="W198" s="72"/>
      <c r="X198" s="73"/>
      <c r="Y198" s="73"/>
      <c r="Z198" s="73"/>
      <c r="AA198" s="73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5"/>
      <c r="AO198" s="76"/>
      <c r="AP198" s="74"/>
      <c r="AQ198" s="74"/>
      <c r="AR198" s="74"/>
      <c r="AS198" s="74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</row>
    <row r="199" ht="15.75" customHeight="1" spans="1:57" x14ac:dyDescent="0.25">
      <c r="A199" s="6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69"/>
      <c r="R199" s="3"/>
      <c r="S199" s="3"/>
      <c r="T199" s="3"/>
      <c r="U199" s="3"/>
      <c r="V199" s="71"/>
      <c r="W199" s="72"/>
      <c r="X199" s="73"/>
      <c r="Y199" s="73"/>
      <c r="Z199" s="73"/>
      <c r="AA199" s="73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5"/>
      <c r="AO199" s="76"/>
      <c r="AP199" s="74"/>
      <c r="AQ199" s="74"/>
      <c r="AR199" s="74"/>
      <c r="AS199" s="74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</row>
    <row r="200" ht="15.75" customHeight="1" spans="1:57" x14ac:dyDescent="0.25">
      <c r="A200" s="6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69"/>
      <c r="R200" s="3"/>
      <c r="S200" s="3"/>
      <c r="T200" s="3"/>
      <c r="U200" s="3"/>
      <c r="V200" s="71"/>
      <c r="W200" s="72"/>
      <c r="X200" s="73"/>
      <c r="Y200" s="73"/>
      <c r="Z200" s="73"/>
      <c r="AA200" s="73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5"/>
      <c r="AO200" s="76"/>
      <c r="AP200" s="74"/>
      <c r="AQ200" s="74"/>
      <c r="AR200" s="74"/>
      <c r="AS200" s="74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</row>
    <row r="201" ht="15.75" customHeight="1" spans="1:57" x14ac:dyDescent="0.25">
      <c r="A201" s="6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69"/>
      <c r="R201" s="3"/>
      <c r="S201" s="3"/>
      <c r="T201" s="3"/>
      <c r="U201" s="3"/>
      <c r="V201" s="71"/>
      <c r="W201" s="72"/>
      <c r="X201" s="73"/>
      <c r="Y201" s="73"/>
      <c r="Z201" s="73"/>
      <c r="AA201" s="73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5"/>
      <c r="AO201" s="76"/>
      <c r="AP201" s="74"/>
      <c r="AQ201" s="74"/>
      <c r="AR201" s="74"/>
      <c r="AS201" s="74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</row>
    <row r="202" ht="15.75" customHeight="1" spans="1:57" x14ac:dyDescent="0.25">
      <c r="A202" s="6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69"/>
      <c r="R202" s="3"/>
      <c r="S202" s="3"/>
      <c r="T202" s="3"/>
      <c r="U202" s="3"/>
      <c r="V202" s="71"/>
      <c r="W202" s="72"/>
      <c r="X202" s="73"/>
      <c r="Y202" s="73"/>
      <c r="Z202" s="73"/>
      <c r="AA202" s="73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5"/>
      <c r="AO202" s="76"/>
      <c r="AP202" s="74"/>
      <c r="AQ202" s="74"/>
      <c r="AR202" s="74"/>
      <c r="AS202" s="74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</row>
    <row r="203" ht="15.75" customHeight="1" spans="1:57" x14ac:dyDescent="0.25">
      <c r="A203" s="6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69"/>
      <c r="R203" s="3"/>
      <c r="S203" s="3"/>
      <c r="T203" s="3"/>
      <c r="U203" s="3"/>
      <c r="V203" s="71"/>
      <c r="W203" s="72"/>
      <c r="X203" s="73"/>
      <c r="Y203" s="73"/>
      <c r="Z203" s="73"/>
      <c r="AA203" s="73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5"/>
      <c r="AO203" s="76"/>
      <c r="AP203" s="74"/>
      <c r="AQ203" s="74"/>
      <c r="AR203" s="74"/>
      <c r="AS203" s="74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</row>
    <row r="204" ht="15.75" customHeight="1" spans="1:57" x14ac:dyDescent="0.25">
      <c r="A204" s="6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69"/>
      <c r="R204" s="3"/>
      <c r="S204" s="3"/>
      <c r="T204" s="3"/>
      <c r="U204" s="3"/>
      <c r="V204" s="71"/>
      <c r="W204" s="72"/>
      <c r="X204" s="73"/>
      <c r="Y204" s="73"/>
      <c r="Z204" s="73"/>
      <c r="AA204" s="73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5"/>
      <c r="AO204" s="76"/>
      <c r="AP204" s="74"/>
      <c r="AQ204" s="74"/>
      <c r="AR204" s="74"/>
      <c r="AS204" s="74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</row>
    <row r="205" ht="15.75" customHeight="1" spans="1:57" x14ac:dyDescent="0.25">
      <c r="A205" s="6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69"/>
      <c r="R205" s="3"/>
      <c r="S205" s="3"/>
      <c r="T205" s="3"/>
      <c r="U205" s="3"/>
      <c r="V205" s="71"/>
      <c r="W205" s="72"/>
      <c r="X205" s="73"/>
      <c r="Y205" s="73"/>
      <c r="Z205" s="73"/>
      <c r="AA205" s="73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5"/>
      <c r="AO205" s="76"/>
      <c r="AP205" s="74"/>
      <c r="AQ205" s="74"/>
      <c r="AR205" s="74"/>
      <c r="AS205" s="74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</row>
    <row r="206" ht="15.75" customHeight="1" spans="1:57" x14ac:dyDescent="0.25">
      <c r="A206" s="6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69"/>
      <c r="R206" s="3"/>
      <c r="S206" s="3"/>
      <c r="T206" s="3"/>
      <c r="U206" s="3"/>
      <c r="V206" s="71"/>
      <c r="W206" s="72"/>
      <c r="X206" s="73"/>
      <c r="Y206" s="73"/>
      <c r="Z206" s="73"/>
      <c r="AA206" s="73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5"/>
      <c r="AO206" s="76"/>
      <c r="AP206" s="74"/>
      <c r="AQ206" s="74"/>
      <c r="AR206" s="74"/>
      <c r="AS206" s="74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</row>
    <row r="207" ht="15.75" customHeight="1" spans="1:57" x14ac:dyDescent="0.25">
      <c r="A207" s="6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69"/>
      <c r="R207" s="3"/>
      <c r="S207" s="3"/>
      <c r="T207" s="3"/>
      <c r="U207" s="3"/>
      <c r="V207" s="71"/>
      <c r="W207" s="72"/>
      <c r="X207" s="73"/>
      <c r="Y207" s="73"/>
      <c r="Z207" s="73"/>
      <c r="AA207" s="73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5"/>
      <c r="AO207" s="76"/>
      <c r="AP207" s="74"/>
      <c r="AQ207" s="74"/>
      <c r="AR207" s="74"/>
      <c r="AS207" s="74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</row>
    <row r="208" ht="15.75" customHeight="1" spans="1:57" x14ac:dyDescent="0.25">
      <c r="A208" s="6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69"/>
      <c r="R208" s="3"/>
      <c r="S208" s="3"/>
      <c r="T208" s="3"/>
      <c r="U208" s="3"/>
      <c r="V208" s="71"/>
      <c r="W208" s="72"/>
      <c r="X208" s="73"/>
      <c r="Y208" s="73"/>
      <c r="Z208" s="73"/>
      <c r="AA208" s="73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5"/>
      <c r="AO208" s="76"/>
      <c r="AP208" s="74"/>
      <c r="AQ208" s="74"/>
      <c r="AR208" s="74"/>
      <c r="AS208" s="74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</row>
    <row r="209" ht="15.75" customHeight="1" spans="1:57" x14ac:dyDescent="0.25">
      <c r="A209" s="6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69"/>
      <c r="R209" s="3"/>
      <c r="S209" s="3"/>
      <c r="T209" s="3"/>
      <c r="U209" s="3"/>
      <c r="V209" s="71"/>
      <c r="W209" s="72"/>
      <c r="X209" s="73"/>
      <c r="Y209" s="73"/>
      <c r="Z209" s="73"/>
      <c r="AA209" s="73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5"/>
      <c r="AO209" s="76"/>
      <c r="AP209" s="74"/>
      <c r="AQ209" s="74"/>
      <c r="AR209" s="74"/>
      <c r="AS209" s="74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</row>
    <row r="210" ht="15.75" customHeight="1" spans="1:57" x14ac:dyDescent="0.25">
      <c r="A210" s="6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69"/>
      <c r="R210" s="3"/>
      <c r="S210" s="3"/>
      <c r="T210" s="3"/>
      <c r="U210" s="3"/>
      <c r="V210" s="71"/>
      <c r="W210" s="72"/>
      <c r="X210" s="73"/>
      <c r="Y210" s="73"/>
      <c r="Z210" s="73"/>
      <c r="AA210" s="73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5"/>
      <c r="AO210" s="76"/>
      <c r="AP210" s="74"/>
      <c r="AQ210" s="74"/>
      <c r="AR210" s="74"/>
      <c r="AS210" s="74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</row>
    <row r="211" ht="15.75" customHeight="1" spans="1:57" x14ac:dyDescent="0.25">
      <c r="A211" s="6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69"/>
      <c r="R211" s="3"/>
      <c r="S211" s="3"/>
      <c r="T211" s="3"/>
      <c r="U211" s="3"/>
      <c r="V211" s="71"/>
      <c r="W211" s="72"/>
      <c r="X211" s="73"/>
      <c r="Y211" s="73"/>
      <c r="Z211" s="73"/>
      <c r="AA211" s="73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5"/>
      <c r="AO211" s="76"/>
      <c r="AP211" s="74"/>
      <c r="AQ211" s="74"/>
      <c r="AR211" s="74"/>
      <c r="AS211" s="74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</row>
    <row r="212" ht="15.75" customHeight="1" spans="1:57" x14ac:dyDescent="0.25">
      <c r="A212" s="6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69"/>
      <c r="R212" s="3"/>
      <c r="S212" s="3"/>
      <c r="T212" s="3"/>
      <c r="U212" s="3"/>
      <c r="V212" s="71"/>
      <c r="W212" s="72"/>
      <c r="X212" s="73"/>
      <c r="Y212" s="73"/>
      <c r="Z212" s="73"/>
      <c r="AA212" s="73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5"/>
      <c r="AO212" s="76"/>
      <c r="AP212" s="74"/>
      <c r="AQ212" s="74"/>
      <c r="AR212" s="74"/>
      <c r="AS212" s="74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</row>
    <row r="213" ht="15.75" customHeight="1" spans="1:57" x14ac:dyDescent="0.25">
      <c r="A213" s="6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69"/>
      <c r="R213" s="3"/>
      <c r="S213" s="3"/>
      <c r="T213" s="3"/>
      <c r="U213" s="3"/>
      <c r="V213" s="71"/>
      <c r="W213" s="72"/>
      <c r="X213" s="73"/>
      <c r="Y213" s="73"/>
      <c r="Z213" s="73"/>
      <c r="AA213" s="73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5"/>
      <c r="AO213" s="76"/>
      <c r="AP213" s="74"/>
      <c r="AQ213" s="74"/>
      <c r="AR213" s="74"/>
      <c r="AS213" s="74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</row>
    <row r="214" ht="15.75" customHeight="1" spans="1:57" x14ac:dyDescent="0.25">
      <c r="A214" s="6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69"/>
      <c r="R214" s="3"/>
      <c r="S214" s="3"/>
      <c r="T214" s="3"/>
      <c r="U214" s="3"/>
      <c r="V214" s="71"/>
      <c r="W214" s="72"/>
      <c r="X214" s="73"/>
      <c r="Y214" s="73"/>
      <c r="Z214" s="73"/>
      <c r="AA214" s="73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5"/>
      <c r="AO214" s="76"/>
      <c r="AP214" s="74"/>
      <c r="AQ214" s="74"/>
      <c r="AR214" s="74"/>
      <c r="AS214" s="74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</row>
    <row r="215" ht="15.75" customHeight="1" spans="1:57" x14ac:dyDescent="0.25">
      <c r="A215" s="6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69"/>
      <c r="R215" s="3"/>
      <c r="S215" s="3"/>
      <c r="T215" s="3"/>
      <c r="U215" s="3"/>
      <c r="V215" s="71"/>
      <c r="W215" s="72"/>
      <c r="X215" s="73"/>
      <c r="Y215" s="73"/>
      <c r="Z215" s="73"/>
      <c r="AA215" s="73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5"/>
      <c r="AO215" s="76"/>
      <c r="AP215" s="74"/>
      <c r="AQ215" s="74"/>
      <c r="AR215" s="74"/>
      <c r="AS215" s="74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</row>
    <row r="216" ht="15.75" customHeight="1" spans="1:57" x14ac:dyDescent="0.25">
      <c r="A216" s="6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69"/>
      <c r="R216" s="3"/>
      <c r="S216" s="3"/>
      <c r="T216" s="3"/>
      <c r="U216" s="3"/>
      <c r="V216" s="71"/>
      <c r="W216" s="72"/>
      <c r="X216" s="73"/>
      <c r="Y216" s="73"/>
      <c r="Z216" s="73"/>
      <c r="AA216" s="73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5"/>
      <c r="AO216" s="76"/>
      <c r="AP216" s="74"/>
      <c r="AQ216" s="74"/>
      <c r="AR216" s="74"/>
      <c r="AS216" s="74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</row>
    <row r="217" ht="15.75" customHeight="1" spans="1:57" x14ac:dyDescent="0.25">
      <c r="A217" s="6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69"/>
      <c r="R217" s="3"/>
      <c r="S217" s="3"/>
      <c r="T217" s="3"/>
      <c r="U217" s="3"/>
      <c r="V217" s="71"/>
      <c r="W217" s="72"/>
      <c r="X217" s="73"/>
      <c r="Y217" s="73"/>
      <c r="Z217" s="73"/>
      <c r="AA217" s="73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5"/>
      <c r="AO217" s="76"/>
      <c r="AP217" s="74"/>
      <c r="AQ217" s="74"/>
      <c r="AR217" s="74"/>
      <c r="AS217" s="74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</row>
    <row r="218" ht="15.75" customHeight="1" spans="1:57" x14ac:dyDescent="0.25">
      <c r="A218" s="6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69"/>
      <c r="R218" s="3"/>
      <c r="S218" s="3"/>
      <c r="T218" s="3"/>
      <c r="U218" s="3"/>
      <c r="V218" s="71"/>
      <c r="W218" s="72"/>
      <c r="X218" s="73"/>
      <c r="Y218" s="73"/>
      <c r="Z218" s="73"/>
      <c r="AA218" s="73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5"/>
      <c r="AO218" s="76"/>
      <c r="AP218" s="74"/>
      <c r="AQ218" s="74"/>
      <c r="AR218" s="74"/>
      <c r="AS218" s="74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</row>
    <row r="219" ht="15.75" customHeight="1" spans="1:57" x14ac:dyDescent="0.25">
      <c r="A219" s="6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69"/>
      <c r="R219" s="3"/>
      <c r="S219" s="3"/>
      <c r="T219" s="3"/>
      <c r="U219" s="3"/>
      <c r="V219" s="71"/>
      <c r="W219" s="72"/>
      <c r="X219" s="73"/>
      <c r="Y219" s="73"/>
      <c r="Z219" s="73"/>
      <c r="AA219" s="73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5"/>
      <c r="AO219" s="76"/>
      <c r="AP219" s="74"/>
      <c r="AQ219" s="74"/>
      <c r="AR219" s="74"/>
      <c r="AS219" s="74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</row>
    <row r="220" ht="15.75" customHeight="1" spans="1:57" x14ac:dyDescent="0.25">
      <c r="A220" s="6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69"/>
      <c r="R220" s="3"/>
      <c r="S220" s="3"/>
      <c r="T220" s="3"/>
      <c r="U220" s="3"/>
      <c r="V220" s="71"/>
      <c r="W220" s="72"/>
      <c r="X220" s="78"/>
      <c r="Y220" s="78"/>
      <c r="Z220" s="78"/>
      <c r="AA220" s="73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5"/>
      <c r="AO220" s="76"/>
      <c r="AP220" s="74"/>
      <c r="AQ220" s="74"/>
      <c r="AR220" s="74"/>
      <c r="AS220" s="74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</row>
    <row r="221" ht="15.75" customHeight="1" spans="1:57" x14ac:dyDescent="0.25">
      <c r="A221" s="6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69"/>
      <c r="R221" s="3"/>
      <c r="S221" s="3"/>
      <c r="T221" s="3"/>
      <c r="U221" s="3"/>
      <c r="V221" s="71"/>
      <c r="W221" s="72"/>
      <c r="X221" s="78"/>
      <c r="Y221" s="78"/>
      <c r="Z221" s="78"/>
      <c r="AA221" s="73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5"/>
      <c r="AO221" s="76"/>
      <c r="AP221" s="74"/>
      <c r="AQ221" s="74"/>
      <c r="AR221" s="74"/>
      <c r="AS221" s="74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</row>
    <row r="222" ht="15.75" customHeight="1" spans="1:57" x14ac:dyDescent="0.25">
      <c r="A222" s="6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69"/>
      <c r="R222" s="3"/>
      <c r="S222" s="3"/>
      <c r="T222" s="3"/>
      <c r="U222" s="3"/>
      <c r="V222" s="71"/>
      <c r="W222" s="72"/>
      <c r="X222" s="78"/>
      <c r="Y222" s="78"/>
      <c r="Z222" s="78"/>
      <c r="AA222" s="73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5"/>
      <c r="AO222" s="76"/>
      <c r="AP222" s="74"/>
      <c r="AQ222" s="74"/>
      <c r="AR222" s="74"/>
      <c r="AS222" s="74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</row>
    <row r="223" ht="15.75" customHeight="1" spans="1:57" x14ac:dyDescent="0.25">
      <c r="A223" s="6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69"/>
      <c r="R223" s="3"/>
      <c r="S223" s="3"/>
      <c r="T223" s="3"/>
      <c r="U223" s="3"/>
      <c r="V223" s="71"/>
      <c r="W223" s="72"/>
      <c r="X223" s="78"/>
      <c r="Y223" s="78"/>
      <c r="Z223" s="78"/>
      <c r="AA223" s="73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5"/>
      <c r="AO223" s="76"/>
      <c r="AP223" s="74"/>
      <c r="AQ223" s="74"/>
      <c r="AR223" s="74"/>
      <c r="AS223" s="74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</row>
    <row r="224" ht="15.75" customHeight="1" spans="1:57" x14ac:dyDescent="0.25">
      <c r="A224" s="6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69"/>
      <c r="R224" s="3"/>
      <c r="S224" s="3"/>
      <c r="T224" s="3"/>
      <c r="U224" s="3"/>
      <c r="V224" s="71"/>
      <c r="W224" s="72"/>
      <c r="X224" s="78"/>
      <c r="Y224" s="78"/>
      <c r="Z224" s="78"/>
      <c r="AA224" s="73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5"/>
      <c r="AO224" s="76"/>
      <c r="AP224" s="74"/>
      <c r="AQ224" s="74"/>
      <c r="AR224" s="74"/>
      <c r="AS224" s="74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</row>
    <row r="225" ht="15.75" customHeight="1" spans="1:57" x14ac:dyDescent="0.25">
      <c r="A225" s="6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69"/>
      <c r="R225" s="3"/>
      <c r="S225" s="3"/>
      <c r="T225" s="3"/>
      <c r="U225" s="3"/>
      <c r="V225" s="71"/>
      <c r="W225" s="72"/>
      <c r="X225" s="78"/>
      <c r="Y225" s="78"/>
      <c r="Z225" s="78"/>
      <c r="AA225" s="73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5"/>
      <c r="AO225" s="76"/>
      <c r="AP225" s="74"/>
      <c r="AQ225" s="74"/>
      <c r="AR225" s="74"/>
      <c r="AS225" s="74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</row>
    <row r="226" ht="15.75" customHeight="1" spans="1:57" x14ac:dyDescent="0.25">
      <c r="A226" s="6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69"/>
      <c r="R226" s="3"/>
      <c r="S226" s="3"/>
      <c r="T226" s="3"/>
      <c r="U226" s="3"/>
      <c r="V226" s="71"/>
      <c r="W226" s="72"/>
      <c r="X226" s="78"/>
      <c r="Y226" s="78"/>
      <c r="Z226" s="78"/>
      <c r="AA226" s="73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5"/>
      <c r="AO226" s="76"/>
      <c r="AP226" s="74"/>
      <c r="AQ226" s="74"/>
      <c r="AR226" s="74"/>
      <c r="AS226" s="74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</row>
    <row r="227" ht="15.75" customHeight="1" spans="1:57" x14ac:dyDescent="0.25">
      <c r="A227" s="6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69"/>
      <c r="R227" s="3"/>
      <c r="S227" s="3"/>
      <c r="T227" s="3"/>
      <c r="U227" s="3"/>
      <c r="V227" s="71"/>
      <c r="W227" s="72"/>
      <c r="X227" s="78"/>
      <c r="Y227" s="78"/>
      <c r="Z227" s="78"/>
      <c r="AA227" s="73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5"/>
      <c r="AO227" s="76"/>
      <c r="AP227" s="74"/>
      <c r="AQ227" s="74"/>
      <c r="AR227" s="74"/>
      <c r="AS227" s="74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</row>
    <row r="228" ht="15.75" customHeight="1" spans="1:57" x14ac:dyDescent="0.25">
      <c r="A228" s="6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69"/>
      <c r="R228" s="3"/>
      <c r="S228" s="3"/>
      <c r="T228" s="3"/>
      <c r="U228" s="3"/>
      <c r="V228" s="71"/>
      <c r="W228" s="72"/>
      <c r="X228" s="78"/>
      <c r="Y228" s="78"/>
      <c r="Z228" s="78"/>
      <c r="AA228" s="73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5"/>
      <c r="AO228" s="76"/>
      <c r="AP228" s="74"/>
      <c r="AQ228" s="74"/>
      <c r="AR228" s="74"/>
      <c r="AS228" s="74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</row>
    <row r="229" ht="15.75" customHeight="1" spans="1:57" x14ac:dyDescent="0.25">
      <c r="A229" s="79"/>
      <c r="AN229" s="80"/>
      <c r="AO229" s="81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</row>
    <row r="230" ht="15.75" customHeight="1" spans="1:57" x14ac:dyDescent="0.25">
      <c r="A230" s="79"/>
      <c r="AN230" s="80"/>
      <c r="AO230" s="81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</row>
    <row r="231" ht="15.75" customHeight="1" spans="1:57" x14ac:dyDescent="0.25">
      <c r="A231" s="79"/>
      <c r="AN231" s="80"/>
      <c r="AO231" s="81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</row>
    <row r="232" ht="15.75" customHeight="1" spans="1:57" x14ac:dyDescent="0.25">
      <c r="A232" s="79"/>
      <c r="AN232" s="80"/>
      <c r="AO232" s="81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</row>
    <row r="233" ht="15.75" customHeight="1" spans="1:57" x14ac:dyDescent="0.25">
      <c r="A233" s="79"/>
      <c r="AN233" s="80"/>
      <c r="AO233" s="81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</row>
    <row r="234" ht="15.75" customHeight="1" spans="1:57" x14ac:dyDescent="0.25">
      <c r="A234" s="79"/>
      <c r="AN234" s="80"/>
      <c r="AO234" s="81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</row>
    <row r="235" ht="15.75" customHeight="1" spans="1:57" x14ac:dyDescent="0.25">
      <c r="A235" s="79"/>
      <c r="AN235" s="80"/>
      <c r="AO235" s="81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</row>
    <row r="236" ht="15.75" customHeight="1" spans="1:57" x14ac:dyDescent="0.25">
      <c r="A236" s="79"/>
      <c r="AN236" s="80"/>
      <c r="AO236" s="81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</row>
    <row r="237" ht="15.75" customHeight="1" spans="1:57" x14ac:dyDescent="0.25">
      <c r="A237" s="79"/>
      <c r="AN237" s="80"/>
      <c r="AO237" s="81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</row>
    <row r="238" ht="15.75" customHeight="1" spans="1:57" x14ac:dyDescent="0.25">
      <c r="A238" s="79"/>
      <c r="AN238" s="80"/>
      <c r="AO238" s="81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</row>
    <row r="239" ht="15.75" customHeight="1" spans="1:57" x14ac:dyDescent="0.25">
      <c r="A239" s="79"/>
      <c r="AN239" s="80"/>
      <c r="AO239" s="81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</row>
    <row r="240" ht="15.75" customHeight="1" spans="1:57" x14ac:dyDescent="0.25">
      <c r="A240" s="79"/>
      <c r="AN240" s="80"/>
      <c r="AO240" s="81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</row>
    <row r="241" ht="15.75" customHeight="1" spans="1:57" x14ac:dyDescent="0.25">
      <c r="A241" s="79"/>
      <c r="AN241" s="80"/>
      <c r="AO241" s="81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</row>
    <row r="242" ht="15.75" customHeight="1" spans="1:57" x14ac:dyDescent="0.25">
      <c r="A242" s="79"/>
      <c r="AN242" s="80"/>
      <c r="AO242" s="81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</row>
    <row r="243" ht="15.75" customHeight="1" spans="1:57" x14ac:dyDescent="0.25">
      <c r="A243" s="79"/>
      <c r="AN243" s="80"/>
      <c r="AO243" s="81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</row>
    <row r="244" ht="15.75" customHeight="1" spans="1:57" x14ac:dyDescent="0.25">
      <c r="A244" s="79"/>
      <c r="AN244" s="80"/>
      <c r="AO244" s="81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</row>
    <row r="245" ht="15.75" customHeight="1" spans="1:57" x14ac:dyDescent="0.25">
      <c r="A245" s="79"/>
      <c r="AN245" s="80"/>
      <c r="AO245" s="81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</row>
    <row r="246" ht="15.75" customHeight="1" spans="1:57" x14ac:dyDescent="0.25">
      <c r="A246" s="79"/>
      <c r="AN246" s="80"/>
      <c r="AO246" s="81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</row>
    <row r="247" ht="15.75" customHeight="1" spans="1:57" x14ac:dyDescent="0.25">
      <c r="A247" s="79"/>
      <c r="AN247" s="80"/>
      <c r="AO247" s="81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</row>
    <row r="248" ht="15.75" customHeight="1" spans="1:57" x14ac:dyDescent="0.25">
      <c r="A248" s="79"/>
      <c r="AN248" s="80"/>
      <c r="AO248" s="81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</row>
    <row r="249" ht="15.75" customHeight="1" spans="1:57" x14ac:dyDescent="0.25">
      <c r="A249" s="79"/>
      <c r="AN249" s="80"/>
      <c r="AO249" s="81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</row>
    <row r="250" ht="15.75" customHeight="1" spans="1:57" x14ac:dyDescent="0.25">
      <c r="A250" s="79"/>
      <c r="AN250" s="80"/>
      <c r="AO250" s="81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</row>
    <row r="251" ht="15.75" customHeight="1" spans="1:57" x14ac:dyDescent="0.25">
      <c r="A251" s="79"/>
      <c r="AN251" s="80"/>
      <c r="AO251" s="81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</row>
    <row r="252" ht="15.75" customHeight="1" spans="1:57" x14ac:dyDescent="0.25">
      <c r="A252" s="79"/>
      <c r="AN252" s="80"/>
      <c r="AO252" s="81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</row>
    <row r="253" ht="15.75" customHeight="1" spans="1:57" x14ac:dyDescent="0.25">
      <c r="A253" s="79"/>
      <c r="AN253" s="80"/>
      <c r="AO253" s="81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</row>
    <row r="254" ht="15.75" customHeight="1" spans="1:57" x14ac:dyDescent="0.25">
      <c r="A254" s="79"/>
      <c r="AN254" s="80"/>
      <c r="AO254" s="81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</row>
    <row r="255" ht="15.75" customHeight="1" spans="1:57" x14ac:dyDescent="0.25">
      <c r="A255" s="79"/>
      <c r="AN255" s="80"/>
      <c r="AO255" s="81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</row>
    <row r="256" ht="15.75" customHeight="1" spans="1:57" x14ac:dyDescent="0.25">
      <c r="A256" s="79"/>
      <c r="AN256" s="80"/>
      <c r="AO256" s="81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</row>
    <row r="257" ht="15.75" customHeight="1" spans="1:57" x14ac:dyDescent="0.25">
      <c r="A257" s="79"/>
      <c r="AN257" s="80"/>
      <c r="AO257" s="81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</row>
    <row r="258" ht="15.75" customHeight="1" spans="1:57" x14ac:dyDescent="0.25">
      <c r="A258" s="79"/>
      <c r="AN258" s="80"/>
      <c r="AO258" s="81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</row>
    <row r="259" ht="15.75" customHeight="1" spans="1:57" x14ac:dyDescent="0.25">
      <c r="A259" s="79"/>
      <c r="AN259" s="80"/>
      <c r="AO259" s="81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</row>
    <row r="260" ht="15.75" customHeight="1" spans="1:57" x14ac:dyDescent="0.25">
      <c r="A260" s="79"/>
      <c r="AN260" s="80"/>
      <c r="AO260" s="81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</row>
    <row r="261" ht="15.75" customHeight="1" spans="1:57" x14ac:dyDescent="0.25">
      <c r="A261" s="79"/>
      <c r="AN261" s="80"/>
      <c r="AO261" s="81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</row>
    <row r="262" ht="15.75" customHeight="1" spans="1:57" x14ac:dyDescent="0.25">
      <c r="A262" s="79"/>
      <c r="AN262" s="80"/>
      <c r="AO262" s="81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</row>
    <row r="263" ht="15.75" customHeight="1" spans="1:57" x14ac:dyDescent="0.25">
      <c r="A263" s="79"/>
      <c r="AN263" s="80"/>
      <c r="AO263" s="81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</row>
    <row r="264" ht="15.75" customHeight="1" spans="1:57" x14ac:dyDescent="0.25">
      <c r="A264" s="79"/>
      <c r="AN264" s="80"/>
      <c r="AO264" s="81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</row>
    <row r="265" ht="15.75" customHeight="1" spans="1:57" x14ac:dyDescent="0.25">
      <c r="A265" s="79"/>
      <c r="AN265" s="80"/>
      <c r="AO265" s="81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</row>
    <row r="266" ht="15.75" customHeight="1" spans="1:57" x14ac:dyDescent="0.25">
      <c r="A266" s="79"/>
      <c r="AN266" s="80"/>
      <c r="AO266" s="81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</row>
    <row r="267" ht="15.75" customHeight="1" spans="1:57" x14ac:dyDescent="0.25">
      <c r="A267" s="79"/>
      <c r="AN267" s="80"/>
      <c r="AO267" s="81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</row>
    <row r="268" ht="15.75" customHeight="1" spans="1:57" x14ac:dyDescent="0.25">
      <c r="A268" s="79"/>
      <c r="AN268" s="80"/>
      <c r="AO268" s="81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</row>
    <row r="269" ht="15.75" customHeight="1" spans="1:57" x14ac:dyDescent="0.25">
      <c r="A269" s="79"/>
      <c r="AN269" s="80"/>
      <c r="AO269" s="81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</row>
    <row r="270" ht="15.75" customHeight="1" spans="1:57" x14ac:dyDescent="0.25">
      <c r="A270" s="79"/>
      <c r="AN270" s="80"/>
      <c r="AO270" s="81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</row>
    <row r="271" ht="15.75" customHeight="1" spans="1:57" x14ac:dyDescent="0.25">
      <c r="A271" s="79"/>
      <c r="AN271" s="80"/>
      <c r="AO271" s="81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</row>
    <row r="272" ht="15.75" customHeight="1" spans="1:57" x14ac:dyDescent="0.25">
      <c r="A272" s="79"/>
      <c r="AN272" s="80"/>
      <c r="AO272" s="81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</row>
    <row r="273" ht="15.75" customHeight="1" spans="1:57" x14ac:dyDescent="0.25">
      <c r="A273" s="79"/>
      <c r="AN273" s="80"/>
      <c r="AO273" s="81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</row>
    <row r="274" ht="15.75" customHeight="1" spans="1:57" x14ac:dyDescent="0.25">
      <c r="A274" s="79"/>
      <c r="AN274" s="80"/>
      <c r="AO274" s="81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</row>
    <row r="275" ht="15.75" customHeight="1" spans="1:57" x14ac:dyDescent="0.25">
      <c r="A275" s="79"/>
      <c r="AN275" s="80"/>
      <c r="AO275" s="81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</row>
    <row r="276" ht="15.75" customHeight="1" spans="1:57" x14ac:dyDescent="0.25">
      <c r="A276" s="79"/>
      <c r="AN276" s="80"/>
      <c r="AO276" s="81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</row>
    <row r="277" ht="15.75" customHeight="1" spans="1:57" x14ac:dyDescent="0.25">
      <c r="A277" s="79"/>
      <c r="AN277" s="80"/>
      <c r="AO277" s="81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</row>
    <row r="278" ht="15.75" customHeight="1" spans="1:57" x14ac:dyDescent="0.25">
      <c r="A278" s="79"/>
      <c r="AN278" s="80"/>
      <c r="AO278" s="81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</row>
    <row r="279" ht="15.75" customHeight="1" spans="1:57" x14ac:dyDescent="0.25">
      <c r="A279" s="79"/>
      <c r="AN279" s="80"/>
      <c r="AO279" s="81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</row>
    <row r="280" ht="15.75" customHeight="1" spans="1:57" x14ac:dyDescent="0.25">
      <c r="A280" s="79"/>
      <c r="AN280" s="80"/>
      <c r="AO280" s="81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</row>
    <row r="281" ht="15.75" customHeight="1" spans="1:57" x14ac:dyDescent="0.25">
      <c r="A281" s="79"/>
      <c r="AN281" s="80"/>
      <c r="AO281" s="81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</row>
    <row r="282" ht="15.75" customHeight="1" spans="1:57" x14ac:dyDescent="0.25">
      <c r="A282" s="79"/>
      <c r="AN282" s="80"/>
      <c r="AO282" s="81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</row>
    <row r="283" ht="15.75" customHeight="1" spans="1:57" x14ac:dyDescent="0.25">
      <c r="A283" s="79"/>
      <c r="AN283" s="80"/>
      <c r="AO283" s="81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</row>
    <row r="284" ht="15.75" customHeight="1" spans="1:57" x14ac:dyDescent="0.25">
      <c r="A284" s="79"/>
      <c r="AN284" s="80"/>
      <c r="AO284" s="81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</row>
    <row r="285" ht="15.75" customHeight="1" spans="1:57" x14ac:dyDescent="0.25">
      <c r="A285" s="79"/>
      <c r="AN285" s="80"/>
      <c r="AO285" s="81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</row>
    <row r="286" ht="15.75" customHeight="1" spans="1:57" x14ac:dyDescent="0.25">
      <c r="A286" s="79"/>
      <c r="AN286" s="80"/>
      <c r="AO286" s="81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</row>
    <row r="287" ht="15.75" customHeight="1" spans="1:57" x14ac:dyDescent="0.25">
      <c r="A287" s="79"/>
      <c r="AN287" s="80"/>
      <c r="AO287" s="81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</row>
    <row r="288" ht="15.75" customHeight="1" spans="1:57" x14ac:dyDescent="0.25">
      <c r="A288" s="79"/>
      <c r="AN288" s="80"/>
      <c r="AO288" s="81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</row>
    <row r="289" ht="15.75" customHeight="1" spans="1:57" x14ac:dyDescent="0.25">
      <c r="A289" s="79"/>
      <c r="AN289" s="80"/>
      <c r="AO289" s="81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</row>
    <row r="290" ht="15.75" customHeight="1" spans="1:57" x14ac:dyDescent="0.25">
      <c r="A290" s="79"/>
      <c r="AN290" s="80"/>
      <c r="AO290" s="81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</row>
    <row r="291" ht="15.75" customHeight="1" spans="1:57" x14ac:dyDescent="0.25">
      <c r="A291" s="79"/>
      <c r="AN291" s="80"/>
      <c r="AO291" s="81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</row>
    <row r="292" ht="15.75" customHeight="1" spans="1:57" x14ac:dyDescent="0.25">
      <c r="A292" s="79"/>
      <c r="AN292" s="80"/>
      <c r="AO292" s="81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</row>
    <row r="293" ht="15.75" customHeight="1" spans="1:57" x14ac:dyDescent="0.25">
      <c r="A293" s="79"/>
      <c r="AN293" s="80"/>
      <c r="AO293" s="81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</row>
    <row r="294" ht="15.75" customHeight="1" spans="1:57" x14ac:dyDescent="0.25">
      <c r="A294" s="79"/>
      <c r="AN294" s="80"/>
      <c r="AO294" s="81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</row>
    <row r="295" ht="15.75" customHeight="1" spans="1:57" x14ac:dyDescent="0.25">
      <c r="A295" s="79"/>
      <c r="AN295" s="80"/>
      <c r="AO295" s="81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</row>
    <row r="296" ht="15.75" customHeight="1" spans="1:57" x14ac:dyDescent="0.25">
      <c r="A296" s="79"/>
      <c r="AN296" s="80"/>
      <c r="AO296" s="81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</row>
    <row r="297" ht="15.75" customHeight="1" spans="1:57" x14ac:dyDescent="0.25">
      <c r="A297" s="79"/>
      <c r="AN297" s="80"/>
      <c r="AO297" s="81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</row>
    <row r="298" ht="15.75" customHeight="1" spans="1:57" x14ac:dyDescent="0.25">
      <c r="A298" s="79"/>
      <c r="AN298" s="80"/>
      <c r="AO298" s="81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</row>
    <row r="299" ht="15.75" customHeight="1" spans="1:57" x14ac:dyDescent="0.25">
      <c r="A299" s="79"/>
      <c r="AN299" s="80"/>
      <c r="AO299" s="81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</row>
    <row r="300" ht="15.75" customHeight="1" spans="1:57" x14ac:dyDescent="0.25">
      <c r="A300" s="79"/>
      <c r="AN300" s="80"/>
      <c r="AO300" s="81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</row>
    <row r="301" ht="15.75" customHeight="1" spans="1:57" x14ac:dyDescent="0.25">
      <c r="A301" s="79"/>
      <c r="AN301" s="80"/>
      <c r="AO301" s="81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</row>
    <row r="302" ht="15.75" customHeight="1" spans="1:57" x14ac:dyDescent="0.25">
      <c r="A302" s="79"/>
      <c r="AN302" s="80"/>
      <c r="AO302" s="81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</row>
    <row r="303" ht="15.75" customHeight="1" spans="1:57" x14ac:dyDescent="0.25">
      <c r="A303" s="79"/>
      <c r="AN303" s="80"/>
      <c r="AO303" s="81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</row>
    <row r="304" ht="15.75" customHeight="1" spans="1:57" x14ac:dyDescent="0.25">
      <c r="A304" s="79"/>
      <c r="AN304" s="80"/>
      <c r="AO304" s="81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</row>
    <row r="305" ht="15.75" customHeight="1" spans="1:57" x14ac:dyDescent="0.25">
      <c r="A305" s="79"/>
      <c r="AN305" s="80"/>
      <c r="AO305" s="81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</row>
    <row r="306" ht="15.75" customHeight="1" spans="1:57" x14ac:dyDescent="0.25">
      <c r="A306" s="79"/>
      <c r="AN306" s="80"/>
      <c r="AO306" s="81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</row>
    <row r="307" ht="15.75" customHeight="1" spans="1:57" x14ac:dyDescent="0.25">
      <c r="A307" s="79"/>
      <c r="AN307" s="80"/>
      <c r="AO307" s="81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</row>
    <row r="308" ht="15.75" customHeight="1" spans="1:57" x14ac:dyDescent="0.25">
      <c r="A308" s="79"/>
      <c r="AN308" s="80"/>
      <c r="AO308" s="81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</row>
    <row r="309" ht="15.75" customHeight="1" spans="1:57" x14ac:dyDescent="0.25">
      <c r="A309" s="79"/>
      <c r="AN309" s="80"/>
      <c r="AO309" s="81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</row>
    <row r="310" ht="15.75" customHeight="1" spans="1:57" x14ac:dyDescent="0.25">
      <c r="A310" s="79"/>
      <c r="AN310" s="80"/>
      <c r="AO310" s="81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</row>
    <row r="311" ht="15.75" customHeight="1" spans="1:57" x14ac:dyDescent="0.25">
      <c r="A311" s="79"/>
      <c r="AN311" s="80"/>
      <c r="AO311" s="81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</row>
    <row r="312" ht="15.75" customHeight="1" spans="1:57" x14ac:dyDescent="0.25">
      <c r="A312" s="79"/>
      <c r="AN312" s="80"/>
      <c r="AO312" s="81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</row>
    <row r="313" ht="15.75" customHeight="1" spans="1:57" x14ac:dyDescent="0.25">
      <c r="A313" s="79"/>
      <c r="AN313" s="80"/>
      <c r="AO313" s="81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</row>
    <row r="314" ht="15.75" customHeight="1" spans="1:57" x14ac:dyDescent="0.25">
      <c r="A314" s="79"/>
      <c r="AN314" s="80"/>
      <c r="AO314" s="81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</row>
    <row r="315" ht="15.75" customHeight="1" spans="1:57" x14ac:dyDescent="0.25">
      <c r="A315" s="79"/>
      <c r="AN315" s="80"/>
      <c r="AO315" s="81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</row>
    <row r="316" ht="15.75" customHeight="1" spans="1:57" x14ac:dyDescent="0.25">
      <c r="A316" s="79"/>
      <c r="AN316" s="80"/>
      <c r="AO316" s="81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</row>
    <row r="317" ht="15.75" customHeight="1" spans="1:57" x14ac:dyDescent="0.25">
      <c r="A317" s="79"/>
      <c r="AN317" s="80"/>
      <c r="AO317" s="81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</row>
    <row r="318" ht="15.75" customHeight="1" spans="1:57" x14ac:dyDescent="0.25">
      <c r="A318" s="79"/>
      <c r="AN318" s="80"/>
      <c r="AO318" s="81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</row>
    <row r="319" ht="15.75" customHeight="1" spans="1:57" x14ac:dyDescent="0.25">
      <c r="A319" s="79"/>
      <c r="AN319" s="80"/>
      <c r="AO319" s="81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</row>
    <row r="320" ht="15.75" customHeight="1" spans="1:57" x14ac:dyDescent="0.25">
      <c r="A320" s="79"/>
      <c r="AN320" s="80"/>
      <c r="AO320" s="81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</row>
    <row r="321" ht="15.75" customHeight="1" spans="1:57" x14ac:dyDescent="0.25">
      <c r="A321" s="79"/>
      <c r="AN321" s="80"/>
      <c r="AO321" s="81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</row>
    <row r="322" ht="15.75" customHeight="1" spans="1:57" x14ac:dyDescent="0.25">
      <c r="A322" s="79"/>
      <c r="AN322" s="80"/>
      <c r="AO322" s="81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</row>
    <row r="323" ht="15.75" customHeight="1" spans="1:57" x14ac:dyDescent="0.25">
      <c r="A323" s="79"/>
      <c r="AN323" s="80"/>
      <c r="AO323" s="81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</row>
    <row r="324" ht="15.75" customHeight="1" spans="1:57" x14ac:dyDescent="0.25">
      <c r="A324" s="79"/>
      <c r="AN324" s="80"/>
      <c r="AO324" s="81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</row>
    <row r="325" ht="15.75" customHeight="1" spans="1:57" x14ac:dyDescent="0.25">
      <c r="A325" s="79"/>
      <c r="AN325" s="80"/>
      <c r="AO325" s="81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</row>
    <row r="326" ht="15.75" customHeight="1" spans="1:57" x14ac:dyDescent="0.25">
      <c r="A326" s="79"/>
      <c r="AN326" s="80"/>
      <c r="AO326" s="81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</row>
    <row r="327" ht="15.75" customHeight="1" spans="1:57" x14ac:dyDescent="0.25">
      <c r="A327" s="79"/>
      <c r="AN327" s="80"/>
      <c r="AO327" s="81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</row>
    <row r="328" ht="15.75" customHeight="1" spans="1:57" x14ac:dyDescent="0.25">
      <c r="A328" s="79"/>
      <c r="AN328" s="80"/>
      <c r="AO328" s="81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</row>
    <row r="329" ht="15.75" customHeight="1" spans="1:57" x14ac:dyDescent="0.25">
      <c r="A329" s="79"/>
      <c r="AN329" s="80"/>
      <c r="AO329" s="81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</row>
    <row r="330" ht="15.75" customHeight="1" spans="1:57" x14ac:dyDescent="0.25">
      <c r="A330" s="79"/>
      <c r="AN330" s="80"/>
      <c r="AO330" s="81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</row>
    <row r="331" ht="15.75" customHeight="1" spans="1:57" x14ac:dyDescent="0.25">
      <c r="A331" s="79"/>
      <c r="AN331" s="80"/>
      <c r="AO331" s="81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</row>
    <row r="332" ht="15.75" customHeight="1" spans="1:57" x14ac:dyDescent="0.25">
      <c r="A332" s="79"/>
      <c r="AN332" s="80"/>
      <c r="AO332" s="81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</row>
    <row r="333" ht="15.75" customHeight="1" spans="1:57" x14ac:dyDescent="0.25">
      <c r="A333" s="79"/>
      <c r="AN333" s="80"/>
      <c r="AO333" s="81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</row>
    <row r="334" ht="15.75" customHeight="1" spans="1:57" x14ac:dyDescent="0.25">
      <c r="A334" s="79"/>
      <c r="AN334" s="80"/>
      <c r="AO334" s="81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</row>
    <row r="335" ht="15.75" customHeight="1" spans="1:57" x14ac:dyDescent="0.25">
      <c r="A335" s="79"/>
      <c r="AN335" s="80"/>
      <c r="AO335" s="81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</row>
    <row r="336" ht="15.75" customHeight="1" spans="1:57" x14ac:dyDescent="0.25">
      <c r="A336" s="79"/>
      <c r="AN336" s="80"/>
      <c r="AO336" s="81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</row>
    <row r="337" ht="15.75" customHeight="1" spans="1:57" x14ac:dyDescent="0.25">
      <c r="A337" s="79"/>
      <c r="AN337" s="80"/>
      <c r="AO337" s="81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</row>
    <row r="338" ht="15.75" customHeight="1" spans="1:57" x14ac:dyDescent="0.25">
      <c r="A338" s="79"/>
      <c r="AN338" s="80"/>
      <c r="AO338" s="81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</row>
    <row r="339" ht="15.75" customHeight="1" spans="1:57" x14ac:dyDescent="0.25">
      <c r="A339" s="79"/>
      <c r="AN339" s="80"/>
      <c r="AO339" s="81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</row>
    <row r="340" ht="15.75" customHeight="1" spans="1:57" x14ac:dyDescent="0.25">
      <c r="A340" s="79"/>
      <c r="AN340" s="80"/>
      <c r="AO340" s="81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</row>
    <row r="341" ht="15.75" customHeight="1" spans="1:57" x14ac:dyDescent="0.25">
      <c r="A341" s="79"/>
      <c r="AN341" s="80"/>
      <c r="AO341" s="81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</row>
    <row r="342" ht="15.75" customHeight="1" spans="1:57" x14ac:dyDescent="0.25">
      <c r="A342" s="79"/>
      <c r="AN342" s="80"/>
      <c r="AO342" s="81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</row>
    <row r="343" ht="15.75" customHeight="1" spans="1:57" x14ac:dyDescent="0.25">
      <c r="A343" s="79"/>
      <c r="AN343" s="80"/>
      <c r="AO343" s="81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</row>
    <row r="344" ht="15.75" customHeight="1" spans="1:57" x14ac:dyDescent="0.25">
      <c r="A344" s="79"/>
      <c r="AN344" s="80"/>
      <c r="AO344" s="81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</row>
    <row r="345" ht="15.75" customHeight="1" spans="1:57" x14ac:dyDescent="0.25">
      <c r="A345" s="79"/>
      <c r="AN345" s="80"/>
      <c r="AO345" s="81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</row>
    <row r="346" ht="15.75" customHeight="1" spans="1:57" x14ac:dyDescent="0.25">
      <c r="A346" s="79"/>
      <c r="AN346" s="80"/>
      <c r="AO346" s="81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</row>
    <row r="347" ht="15.75" customHeight="1" spans="1:57" x14ac:dyDescent="0.25">
      <c r="A347" s="79"/>
      <c r="AN347" s="80"/>
      <c r="AO347" s="81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</row>
    <row r="348" ht="15.75" customHeight="1" spans="1:57" x14ac:dyDescent="0.25">
      <c r="A348" s="79"/>
      <c r="AN348" s="80"/>
      <c r="AO348" s="81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</row>
    <row r="349" ht="15.75" customHeight="1" spans="1:57" x14ac:dyDescent="0.25">
      <c r="A349" s="79"/>
      <c r="AN349" s="80"/>
      <c r="AO349" s="81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</row>
    <row r="350" ht="15.75" customHeight="1" spans="1:57" x14ac:dyDescent="0.25">
      <c r="A350" s="79"/>
      <c r="AN350" s="80"/>
      <c r="AO350" s="81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</row>
    <row r="351" ht="15.75" customHeight="1" spans="1:57" x14ac:dyDescent="0.25">
      <c r="A351" s="79"/>
      <c r="AN351" s="80"/>
      <c r="AO351" s="81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</row>
    <row r="352" ht="15.75" customHeight="1" spans="1:57" x14ac:dyDescent="0.25">
      <c r="A352" s="79"/>
      <c r="AN352" s="80"/>
      <c r="AO352" s="81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</row>
    <row r="353" ht="15.75" customHeight="1" spans="1:57" x14ac:dyDescent="0.25">
      <c r="A353" s="79"/>
      <c r="AN353" s="80"/>
      <c r="AO353" s="81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</row>
    <row r="354" ht="15.75" customHeight="1" spans="1:57" x14ac:dyDescent="0.25">
      <c r="A354" s="79"/>
      <c r="AN354" s="80"/>
      <c r="AO354" s="81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</row>
    <row r="355" ht="15.75" customHeight="1" spans="1:57" x14ac:dyDescent="0.25">
      <c r="A355" s="79"/>
      <c r="AN355" s="80"/>
      <c r="AO355" s="81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</row>
    <row r="356" ht="15.75" customHeight="1" spans="1:57" x14ac:dyDescent="0.25">
      <c r="A356" s="79"/>
      <c r="AN356" s="80"/>
      <c r="AO356" s="81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</row>
    <row r="357" ht="15.75" customHeight="1" spans="1:57" x14ac:dyDescent="0.25">
      <c r="A357" s="79"/>
      <c r="AN357" s="80"/>
      <c r="AO357" s="81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</row>
    <row r="358" ht="15.75" customHeight="1" spans="1:57" x14ac:dyDescent="0.25">
      <c r="A358" s="79"/>
      <c r="AN358" s="80"/>
      <c r="AO358" s="81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</row>
    <row r="359" ht="15.75" customHeight="1" spans="1:57" x14ac:dyDescent="0.25">
      <c r="A359" s="79"/>
      <c r="AN359" s="80"/>
      <c r="AO359" s="81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</row>
    <row r="360" ht="15.75" customHeight="1" spans="1:57" x14ac:dyDescent="0.25">
      <c r="A360" s="79"/>
      <c r="AN360" s="80"/>
      <c r="AO360" s="81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</row>
    <row r="361" ht="15.75" customHeight="1" spans="1:57" x14ac:dyDescent="0.25">
      <c r="A361" s="79"/>
      <c r="AN361" s="80"/>
      <c r="AO361" s="81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</row>
    <row r="362" ht="15.75" customHeight="1" spans="1:57" x14ac:dyDescent="0.25">
      <c r="A362" s="79"/>
      <c r="AN362" s="80"/>
      <c r="AO362" s="81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</row>
    <row r="363" ht="15.75" customHeight="1" spans="1:57" x14ac:dyDescent="0.25">
      <c r="A363" s="79"/>
      <c r="AN363" s="80"/>
      <c r="AO363" s="81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</row>
    <row r="364" ht="15.75" customHeight="1" spans="1:57" x14ac:dyDescent="0.25">
      <c r="A364" s="79"/>
      <c r="AN364" s="80"/>
      <c r="AO364" s="81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</row>
    <row r="365" ht="15.75" customHeight="1" spans="1:57" x14ac:dyDescent="0.25">
      <c r="A365" s="79"/>
      <c r="AN365" s="80"/>
      <c r="AO365" s="81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</row>
    <row r="366" ht="15.75" customHeight="1" spans="1:57" x14ac:dyDescent="0.25">
      <c r="A366" s="79"/>
      <c r="AN366" s="80"/>
      <c r="AO366" s="81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</row>
    <row r="367" ht="15.75" customHeight="1" spans="1:57" x14ac:dyDescent="0.25">
      <c r="A367" s="79"/>
      <c r="AN367" s="80"/>
      <c r="AO367" s="81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</row>
    <row r="368" ht="15.75" customHeight="1" spans="1:57" x14ac:dyDescent="0.25">
      <c r="A368" s="79"/>
      <c r="AN368" s="80"/>
      <c r="AO368" s="81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</row>
    <row r="369" ht="15.75" customHeight="1" spans="1:57" x14ac:dyDescent="0.25">
      <c r="A369" s="79"/>
      <c r="AN369" s="80"/>
      <c r="AO369" s="81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</row>
    <row r="370" ht="15.75" customHeight="1" spans="1:57" x14ac:dyDescent="0.25">
      <c r="A370" s="79"/>
      <c r="AN370" s="80"/>
      <c r="AO370" s="81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</row>
    <row r="371" ht="15.75" customHeight="1" spans="1:57" x14ac:dyDescent="0.25">
      <c r="A371" s="79"/>
      <c r="AN371" s="80"/>
      <c r="AO371" s="81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</row>
    <row r="372" ht="15.75" customHeight="1" spans="1:57" x14ac:dyDescent="0.25">
      <c r="A372" s="79"/>
      <c r="AN372" s="80"/>
      <c r="AO372" s="81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</row>
    <row r="373" ht="15.75" customHeight="1" spans="1:57" x14ac:dyDescent="0.25">
      <c r="A373" s="79"/>
      <c r="AN373" s="80"/>
      <c r="AO373" s="81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</row>
    <row r="374" ht="15.75" customHeight="1" spans="1:57" x14ac:dyDescent="0.25">
      <c r="A374" s="79"/>
      <c r="AN374" s="80"/>
      <c r="AO374" s="81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</row>
    <row r="375" ht="15.75" customHeight="1" spans="1:57" x14ac:dyDescent="0.25">
      <c r="A375" s="79"/>
      <c r="AN375" s="80"/>
      <c r="AO375" s="81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</row>
    <row r="376" ht="15.75" customHeight="1" spans="1:57" x14ac:dyDescent="0.25">
      <c r="A376" s="79"/>
      <c r="AN376" s="80"/>
      <c r="AO376" s="81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</row>
    <row r="377" ht="15.75" customHeight="1" spans="1:57" x14ac:dyDescent="0.25">
      <c r="A377" s="79"/>
      <c r="AN377" s="80"/>
      <c r="AO377" s="81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</row>
    <row r="378" ht="15.75" customHeight="1" spans="1:57" x14ac:dyDescent="0.25">
      <c r="A378" s="79"/>
      <c r="AN378" s="80"/>
      <c r="AO378" s="81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</row>
    <row r="379" ht="15.75" customHeight="1" spans="1:57" x14ac:dyDescent="0.25">
      <c r="A379" s="79"/>
      <c r="AN379" s="80"/>
      <c r="AO379" s="81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</row>
    <row r="380" ht="15.75" customHeight="1" spans="1:57" x14ac:dyDescent="0.25">
      <c r="A380" s="79"/>
      <c r="AN380" s="80"/>
      <c r="AO380" s="81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</row>
    <row r="381" ht="15.75" customHeight="1" spans="1:57" x14ac:dyDescent="0.25">
      <c r="A381" s="79"/>
      <c r="AN381" s="80"/>
      <c r="AO381" s="81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</row>
    <row r="382" ht="15.75" customHeight="1" spans="1:57" x14ac:dyDescent="0.25">
      <c r="A382" s="79"/>
      <c r="AN382" s="80"/>
      <c r="AO382" s="81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</row>
    <row r="383" ht="15.75" customHeight="1" spans="1:57" x14ac:dyDescent="0.25">
      <c r="A383" s="79"/>
      <c r="AN383" s="80"/>
      <c r="AO383" s="81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</row>
    <row r="384" ht="15.75" customHeight="1" spans="1:57" x14ac:dyDescent="0.25">
      <c r="A384" s="79"/>
      <c r="AN384" s="80"/>
      <c r="AO384" s="81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</row>
    <row r="385" ht="15.75" customHeight="1" spans="1:57" x14ac:dyDescent="0.25">
      <c r="A385" s="79"/>
      <c r="AN385" s="80"/>
      <c r="AO385" s="81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</row>
    <row r="386" ht="15.75" customHeight="1" spans="1:57" x14ac:dyDescent="0.25">
      <c r="A386" s="79"/>
      <c r="AN386" s="80"/>
      <c r="AO386" s="81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</row>
    <row r="387" ht="15.75" customHeight="1" spans="1:57" x14ac:dyDescent="0.25">
      <c r="A387" s="79"/>
      <c r="AN387" s="80"/>
      <c r="AO387" s="81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</row>
    <row r="388" ht="15.75" customHeight="1" spans="1:57" x14ac:dyDescent="0.25">
      <c r="A388" s="79"/>
      <c r="AN388" s="80"/>
      <c r="AO388" s="81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</row>
    <row r="389" ht="15.75" customHeight="1" spans="1:57" x14ac:dyDescent="0.25">
      <c r="A389" s="79"/>
      <c r="AN389" s="80"/>
      <c r="AO389" s="81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</row>
    <row r="390" ht="15.75" customHeight="1" spans="1:57" x14ac:dyDescent="0.25">
      <c r="A390" s="79"/>
      <c r="AN390" s="80"/>
      <c r="AO390" s="81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</row>
    <row r="391" ht="15.75" customHeight="1" spans="1:57" x14ac:dyDescent="0.25">
      <c r="A391" s="79"/>
      <c r="AN391" s="80"/>
      <c r="AO391" s="81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</row>
    <row r="392" ht="15.75" customHeight="1" spans="1:57" x14ac:dyDescent="0.25">
      <c r="A392" s="79"/>
      <c r="AN392" s="80"/>
      <c r="AO392" s="81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</row>
    <row r="393" ht="15.75" customHeight="1" spans="1:57" x14ac:dyDescent="0.25">
      <c r="A393" s="79"/>
      <c r="AN393" s="80"/>
      <c r="AO393" s="81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</row>
    <row r="394" ht="15.75" customHeight="1" spans="1:57" x14ac:dyDescent="0.25">
      <c r="A394" s="79"/>
      <c r="AN394" s="80"/>
      <c r="AO394" s="81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</row>
    <row r="395" ht="15.75" customHeight="1" spans="1:57" x14ac:dyDescent="0.25">
      <c r="A395" s="79"/>
      <c r="AN395" s="80"/>
      <c r="AO395" s="81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</row>
    <row r="396" ht="15.75" customHeight="1" spans="1:57" x14ac:dyDescent="0.25">
      <c r="A396" s="79"/>
      <c r="AN396" s="80"/>
      <c r="AO396" s="81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</row>
    <row r="397" ht="15.75" customHeight="1" spans="1:57" x14ac:dyDescent="0.25">
      <c r="A397" s="79"/>
      <c r="AN397" s="80"/>
      <c r="AO397" s="81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</row>
    <row r="398" ht="15.75" customHeight="1" spans="1:57" x14ac:dyDescent="0.25">
      <c r="A398" s="79"/>
      <c r="AN398" s="80"/>
      <c r="AO398" s="81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</row>
    <row r="399" ht="15.75" customHeight="1" spans="1:57" x14ac:dyDescent="0.25">
      <c r="A399" s="79"/>
      <c r="AN399" s="80"/>
      <c r="AO399" s="81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</row>
    <row r="400" ht="15.75" customHeight="1" spans="1:57" x14ac:dyDescent="0.25">
      <c r="A400" s="79"/>
      <c r="AN400" s="80"/>
      <c r="AO400" s="81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</row>
    <row r="401" ht="15.75" customHeight="1" spans="1:57" x14ac:dyDescent="0.25">
      <c r="A401" s="79"/>
      <c r="AN401" s="80"/>
      <c r="AO401" s="81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</row>
    <row r="402" ht="15.75" customHeight="1" spans="1:57" x14ac:dyDescent="0.25">
      <c r="A402" s="79"/>
      <c r="AN402" s="80"/>
      <c r="AO402" s="81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</row>
    <row r="403" ht="15.75" customHeight="1" spans="1:57" x14ac:dyDescent="0.25">
      <c r="A403" s="79"/>
      <c r="AN403" s="80"/>
      <c r="AO403" s="81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</row>
    <row r="404" ht="15.75" customHeight="1" spans="1:57" x14ac:dyDescent="0.25">
      <c r="A404" s="79"/>
      <c r="AN404" s="80"/>
      <c r="AO404" s="81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</row>
    <row r="405" ht="15.75" customHeight="1" spans="1:57" x14ac:dyDescent="0.25">
      <c r="A405" s="79"/>
      <c r="AN405" s="80"/>
      <c r="AO405" s="81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</row>
    <row r="406" ht="15.75" customHeight="1" spans="1:57" x14ac:dyDescent="0.25">
      <c r="A406" s="79"/>
      <c r="AN406" s="80"/>
      <c r="AO406" s="81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</row>
    <row r="407" ht="15.75" customHeight="1" spans="1:57" x14ac:dyDescent="0.25">
      <c r="A407" s="79"/>
      <c r="AN407" s="80"/>
      <c r="AO407" s="81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</row>
    <row r="408" ht="15.75" customHeight="1" spans="1:57" x14ac:dyDescent="0.25">
      <c r="A408" s="79"/>
      <c r="AN408" s="80"/>
      <c r="AO408" s="81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</row>
    <row r="409" ht="15.75" customHeight="1" spans="1:57" x14ac:dyDescent="0.25">
      <c r="A409" s="79"/>
      <c r="AN409" s="80"/>
      <c r="AO409" s="81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</row>
    <row r="410" ht="15.75" customHeight="1" spans="1:57" x14ac:dyDescent="0.25">
      <c r="A410" s="79"/>
      <c r="AN410" s="80"/>
      <c r="AO410" s="81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</row>
    <row r="411" ht="15.75" customHeight="1" spans="1:57" x14ac:dyDescent="0.25">
      <c r="A411" s="79"/>
      <c r="AN411" s="80"/>
      <c r="AO411" s="81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</row>
    <row r="412" ht="15.75" customHeight="1" spans="1:57" x14ac:dyDescent="0.25">
      <c r="A412" s="79"/>
      <c r="AN412" s="80"/>
      <c r="AO412" s="81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</row>
    <row r="413" ht="15.75" customHeight="1" spans="1:57" x14ac:dyDescent="0.25">
      <c r="A413" s="79"/>
      <c r="AN413" s="80"/>
      <c r="AO413" s="81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</row>
    <row r="414" ht="15.75" customHeight="1" spans="1:57" x14ac:dyDescent="0.25">
      <c r="A414" s="79"/>
      <c r="AN414" s="80"/>
      <c r="AO414" s="81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</row>
    <row r="415" ht="15.75" customHeight="1" spans="1:57" x14ac:dyDescent="0.25">
      <c r="A415" s="79"/>
      <c r="AN415" s="80"/>
      <c r="AO415" s="81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</row>
    <row r="416" ht="15.75" customHeight="1" spans="1:57" x14ac:dyDescent="0.25">
      <c r="A416" s="79"/>
      <c r="AN416" s="80"/>
      <c r="AO416" s="81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</row>
    <row r="417" ht="15.75" customHeight="1" spans="1:57" x14ac:dyDescent="0.25">
      <c r="A417" s="79"/>
      <c r="AN417" s="80"/>
      <c r="AO417" s="81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</row>
    <row r="418" ht="15.75" customHeight="1" spans="1:57" x14ac:dyDescent="0.25">
      <c r="A418" s="79"/>
      <c r="AN418" s="80"/>
      <c r="AO418" s="81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</row>
    <row r="419" ht="15.75" customHeight="1" spans="1:57" x14ac:dyDescent="0.25">
      <c r="A419" s="79"/>
      <c r="AN419" s="80"/>
      <c r="AO419" s="81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</row>
    <row r="420" ht="15.75" customHeight="1" spans="1:57" x14ac:dyDescent="0.25">
      <c r="A420" s="79"/>
      <c r="AN420" s="80"/>
      <c r="AO420" s="81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</row>
    <row r="421" ht="15.75" customHeight="1" spans="1:57" x14ac:dyDescent="0.25">
      <c r="A421" s="79"/>
      <c r="AN421" s="80"/>
      <c r="AO421" s="81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</row>
    <row r="422" ht="15.75" customHeight="1" spans="1:57" x14ac:dyDescent="0.25">
      <c r="A422" s="79"/>
      <c r="AN422" s="80"/>
      <c r="AO422" s="81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</row>
    <row r="423" ht="15.75" customHeight="1" spans="1:57" x14ac:dyDescent="0.25">
      <c r="A423" s="79"/>
      <c r="AN423" s="80"/>
      <c r="AO423" s="81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</row>
    <row r="424" ht="15.75" customHeight="1" spans="1:57" x14ac:dyDescent="0.25">
      <c r="A424" s="79"/>
      <c r="AN424" s="80"/>
      <c r="AO424" s="81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</row>
    <row r="425" ht="15.75" customHeight="1" spans="1:57" x14ac:dyDescent="0.25">
      <c r="A425" s="79"/>
      <c r="AN425" s="80"/>
      <c r="AO425" s="81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</row>
    <row r="426" ht="15.75" customHeight="1" spans="1:57" x14ac:dyDescent="0.25">
      <c r="A426" s="79"/>
      <c r="AN426" s="80"/>
      <c r="AO426" s="81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</row>
    <row r="427" ht="15.75" customHeight="1" spans="1:57" x14ac:dyDescent="0.25">
      <c r="A427" s="79"/>
      <c r="AN427" s="80"/>
      <c r="AO427" s="81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</row>
    <row r="428" ht="15.75" customHeight="1" spans="1:57" x14ac:dyDescent="0.25">
      <c r="A428" s="79"/>
      <c r="AN428" s="80"/>
      <c r="AO428" s="81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</row>
    <row r="429" ht="15.75" customHeight="1" spans="1:57" x14ac:dyDescent="0.25">
      <c r="A429" s="79"/>
      <c r="AN429" s="80"/>
      <c r="AO429" s="81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</row>
    <row r="430" ht="15.75" customHeight="1" spans="1:57" x14ac:dyDescent="0.25">
      <c r="A430" s="79"/>
      <c r="AN430" s="80"/>
      <c r="AO430" s="81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</row>
    <row r="431" ht="15.75" customHeight="1" spans="1:57" x14ac:dyDescent="0.25">
      <c r="A431" s="79"/>
      <c r="AN431" s="80"/>
      <c r="AO431" s="81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</row>
    <row r="432" ht="15.75" customHeight="1" spans="1:57" x14ac:dyDescent="0.25">
      <c r="A432" s="79"/>
      <c r="AN432" s="80"/>
      <c r="AO432" s="81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</row>
    <row r="433" ht="15.75" customHeight="1" spans="1:57" x14ac:dyDescent="0.25">
      <c r="A433" s="79"/>
      <c r="AN433" s="80"/>
      <c r="AO433" s="81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</row>
    <row r="434" ht="15.75" customHeight="1" spans="1:57" x14ac:dyDescent="0.25">
      <c r="A434" s="79"/>
      <c r="AN434" s="80"/>
      <c r="AO434" s="81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</row>
    <row r="435" ht="15.75" customHeight="1" spans="1:57" x14ac:dyDescent="0.25">
      <c r="A435" s="79"/>
      <c r="AN435" s="80"/>
      <c r="AO435" s="81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</row>
    <row r="436" ht="15.75" customHeight="1" spans="1:57" x14ac:dyDescent="0.25">
      <c r="A436" s="79"/>
      <c r="AN436" s="80"/>
      <c r="AO436" s="81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</row>
    <row r="437" ht="15.75" customHeight="1" spans="1:57" x14ac:dyDescent="0.25">
      <c r="A437" s="79"/>
      <c r="AN437" s="80"/>
      <c r="AO437" s="81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</row>
    <row r="438" ht="15.75" customHeight="1" spans="1:57" x14ac:dyDescent="0.25">
      <c r="A438" s="79"/>
      <c r="AN438" s="80"/>
      <c r="AO438" s="81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</row>
    <row r="439" ht="15.75" customHeight="1" spans="1:57" x14ac:dyDescent="0.25">
      <c r="A439" s="79"/>
      <c r="AN439" s="80"/>
      <c r="AO439" s="81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</row>
    <row r="440" ht="15.75" customHeight="1" spans="1:57" x14ac:dyDescent="0.25">
      <c r="A440" s="79"/>
      <c r="AN440" s="80"/>
      <c r="AO440" s="81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</row>
    <row r="441" ht="15.75" customHeight="1" spans="1:57" x14ac:dyDescent="0.25">
      <c r="A441" s="79"/>
      <c r="AN441" s="80"/>
      <c r="AO441" s="81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</row>
    <row r="442" ht="15.75" customHeight="1" spans="1:57" x14ac:dyDescent="0.25">
      <c r="A442" s="79"/>
      <c r="AN442" s="80"/>
      <c r="AO442" s="81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</row>
    <row r="443" ht="15.75" customHeight="1" spans="1:57" x14ac:dyDescent="0.25">
      <c r="A443" s="79"/>
      <c r="AN443" s="80"/>
      <c r="AO443" s="81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</row>
    <row r="444" ht="15.75" customHeight="1" spans="1:57" x14ac:dyDescent="0.25">
      <c r="A444" s="79"/>
      <c r="AN444" s="80"/>
      <c r="AO444" s="81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</row>
    <row r="445" ht="15.75" customHeight="1" spans="1:57" x14ac:dyDescent="0.25">
      <c r="A445" s="79"/>
      <c r="AN445" s="80"/>
      <c r="AO445" s="81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</row>
    <row r="446" ht="15.75" customHeight="1" spans="1:57" x14ac:dyDescent="0.25">
      <c r="A446" s="79"/>
      <c r="AN446" s="80"/>
      <c r="AO446" s="81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</row>
    <row r="447" ht="15.75" customHeight="1" spans="1:57" x14ac:dyDescent="0.25">
      <c r="A447" s="79"/>
      <c r="AN447" s="80"/>
      <c r="AO447" s="81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</row>
    <row r="448" ht="15.75" customHeight="1" spans="1:57" x14ac:dyDescent="0.25">
      <c r="A448" s="79"/>
      <c r="AN448" s="80"/>
      <c r="AO448" s="81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</row>
    <row r="449" ht="15.75" customHeight="1" spans="1:57" x14ac:dyDescent="0.25">
      <c r="A449" s="79"/>
      <c r="AN449" s="80"/>
      <c r="AO449" s="81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</row>
    <row r="450" ht="15.75" customHeight="1" spans="1:57" x14ac:dyDescent="0.25">
      <c r="A450" s="79"/>
      <c r="AN450" s="80"/>
      <c r="AO450" s="81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</row>
    <row r="451" ht="15.75" customHeight="1" spans="1:57" x14ac:dyDescent="0.25">
      <c r="A451" s="79"/>
      <c r="AN451" s="80"/>
      <c r="AO451" s="81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</row>
    <row r="452" ht="15.75" customHeight="1" spans="1:57" x14ac:dyDescent="0.25">
      <c r="A452" s="79"/>
      <c r="AN452" s="80"/>
      <c r="AO452" s="81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</row>
    <row r="453" ht="15.75" customHeight="1" spans="1:57" x14ac:dyDescent="0.25">
      <c r="A453" s="79"/>
      <c r="AN453" s="80"/>
      <c r="AO453" s="81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</row>
    <row r="454" ht="15.75" customHeight="1" spans="1:57" x14ac:dyDescent="0.25">
      <c r="A454" s="79"/>
      <c r="AN454" s="80"/>
      <c r="AO454" s="81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</row>
    <row r="455" ht="15.75" customHeight="1" spans="1:57" x14ac:dyDescent="0.25">
      <c r="A455" s="79"/>
      <c r="AN455" s="80"/>
      <c r="AO455" s="81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</row>
    <row r="456" ht="15.75" customHeight="1" spans="1:57" x14ac:dyDescent="0.25">
      <c r="A456" s="79"/>
      <c r="AN456" s="80"/>
      <c r="AO456" s="81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</row>
    <row r="457" ht="15.75" customHeight="1" spans="1:57" x14ac:dyDescent="0.25">
      <c r="A457" s="79"/>
      <c r="AN457" s="80"/>
      <c r="AO457" s="81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</row>
    <row r="458" ht="15.75" customHeight="1" spans="1:57" x14ac:dyDescent="0.25">
      <c r="A458" s="79"/>
      <c r="AN458" s="80"/>
      <c r="AO458" s="81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</row>
    <row r="459" ht="15.75" customHeight="1" spans="1:57" x14ac:dyDescent="0.25">
      <c r="A459" s="79"/>
      <c r="AN459" s="80"/>
      <c r="AO459" s="81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</row>
    <row r="460" ht="15.75" customHeight="1" spans="1:57" x14ac:dyDescent="0.25">
      <c r="A460" s="79"/>
      <c r="AN460" s="80"/>
      <c r="AO460" s="81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</row>
    <row r="461" ht="15.75" customHeight="1" spans="1:57" x14ac:dyDescent="0.25">
      <c r="A461" s="79"/>
      <c r="AN461" s="80"/>
      <c r="AO461" s="81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</row>
    <row r="462" ht="15.75" customHeight="1" spans="1:57" x14ac:dyDescent="0.25">
      <c r="A462" s="79"/>
      <c r="AN462" s="80"/>
      <c r="AO462" s="81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</row>
    <row r="463" ht="15.75" customHeight="1" spans="1:57" x14ac:dyDescent="0.25">
      <c r="A463" s="79"/>
      <c r="AN463" s="80"/>
      <c r="AO463" s="81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</row>
    <row r="464" ht="15.75" customHeight="1" spans="1:57" x14ac:dyDescent="0.25">
      <c r="A464" s="79"/>
      <c r="AN464" s="80"/>
      <c r="AO464" s="81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</row>
    <row r="465" ht="15.75" customHeight="1" spans="1:57" x14ac:dyDescent="0.25">
      <c r="A465" s="79"/>
      <c r="AN465" s="80"/>
      <c r="AO465" s="81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</row>
    <row r="466" ht="15.75" customHeight="1" spans="1:57" x14ac:dyDescent="0.25">
      <c r="A466" s="79"/>
      <c r="AN466" s="80"/>
      <c r="AO466" s="81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</row>
    <row r="467" ht="15.75" customHeight="1" spans="1:57" x14ac:dyDescent="0.25">
      <c r="A467" s="79"/>
      <c r="AN467" s="80"/>
      <c r="AO467" s="81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</row>
    <row r="468" ht="15.75" customHeight="1" spans="1:57" x14ac:dyDescent="0.25">
      <c r="A468" s="79"/>
      <c r="AN468" s="80"/>
      <c r="AO468" s="81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</row>
    <row r="469" ht="15.75" customHeight="1" spans="1:57" x14ac:dyDescent="0.25">
      <c r="A469" s="79"/>
      <c r="AN469" s="80"/>
      <c r="AO469" s="81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</row>
    <row r="470" ht="15.75" customHeight="1" spans="1:57" x14ac:dyDescent="0.25">
      <c r="A470" s="79"/>
      <c r="AN470" s="80"/>
      <c r="AO470" s="81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</row>
    <row r="471" ht="15.75" customHeight="1" spans="1:57" x14ac:dyDescent="0.25">
      <c r="A471" s="79"/>
      <c r="AN471" s="80"/>
      <c r="AO471" s="81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</row>
    <row r="472" ht="15.75" customHeight="1" spans="1:57" x14ac:dyDescent="0.25">
      <c r="A472" s="79"/>
      <c r="AN472" s="80"/>
      <c r="AO472" s="81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</row>
    <row r="473" ht="15.75" customHeight="1" spans="1:57" x14ac:dyDescent="0.25">
      <c r="A473" s="79"/>
      <c r="AN473" s="80"/>
      <c r="AO473" s="81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</row>
    <row r="474" ht="15.75" customHeight="1" spans="1:57" x14ac:dyDescent="0.25">
      <c r="A474" s="79"/>
      <c r="AN474" s="80"/>
      <c r="AO474" s="81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</row>
    <row r="475" ht="15.75" customHeight="1" spans="1:57" x14ac:dyDescent="0.25">
      <c r="A475" s="79"/>
      <c r="AN475" s="80"/>
      <c r="AO475" s="81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</row>
    <row r="476" ht="15.75" customHeight="1" spans="1:57" x14ac:dyDescent="0.25">
      <c r="A476" s="79"/>
      <c r="AN476" s="80"/>
      <c r="AO476" s="81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</row>
    <row r="477" ht="15.75" customHeight="1" spans="1:57" x14ac:dyDescent="0.25">
      <c r="A477" s="79"/>
      <c r="AN477" s="80"/>
      <c r="AO477" s="81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</row>
    <row r="478" ht="15.75" customHeight="1" spans="1:57" x14ac:dyDescent="0.25">
      <c r="A478" s="79"/>
      <c r="AN478" s="80"/>
      <c r="AO478" s="81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</row>
    <row r="479" ht="15.75" customHeight="1" spans="1:57" x14ac:dyDescent="0.25">
      <c r="A479" s="79"/>
      <c r="AN479" s="80"/>
      <c r="AO479" s="81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</row>
    <row r="480" ht="15.75" customHeight="1" spans="1:57" x14ac:dyDescent="0.25">
      <c r="A480" s="79"/>
      <c r="AN480" s="80"/>
      <c r="AO480" s="81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</row>
    <row r="481" ht="15.75" customHeight="1" spans="1:57" x14ac:dyDescent="0.25">
      <c r="A481" s="79"/>
      <c r="AN481" s="80"/>
      <c r="AO481" s="81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</row>
    <row r="482" ht="15.75" customHeight="1" spans="1:57" x14ac:dyDescent="0.25">
      <c r="A482" s="79"/>
      <c r="AN482" s="80"/>
      <c r="AO482" s="81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</row>
    <row r="483" ht="15.75" customHeight="1" spans="1:57" x14ac:dyDescent="0.25">
      <c r="A483" s="79"/>
      <c r="AN483" s="80"/>
      <c r="AO483" s="81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</row>
    <row r="484" ht="15.75" customHeight="1" spans="1:57" x14ac:dyDescent="0.25">
      <c r="A484" s="79"/>
      <c r="AN484" s="80"/>
      <c r="AO484" s="81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</row>
    <row r="485" ht="15.75" customHeight="1" spans="1:57" x14ac:dyDescent="0.25">
      <c r="A485" s="79"/>
      <c r="AN485" s="80"/>
      <c r="AO485" s="81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</row>
    <row r="486" ht="15.75" customHeight="1" spans="1:57" x14ac:dyDescent="0.25">
      <c r="A486" s="79"/>
      <c r="AN486" s="80"/>
      <c r="AO486" s="81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</row>
    <row r="487" ht="15.75" customHeight="1" spans="1:57" x14ac:dyDescent="0.25">
      <c r="A487" s="79"/>
      <c r="AN487" s="80"/>
      <c r="AO487" s="81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</row>
    <row r="488" ht="15.75" customHeight="1" spans="1:57" x14ac:dyDescent="0.25">
      <c r="A488" s="79"/>
      <c r="AN488" s="80"/>
      <c r="AO488" s="81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</row>
    <row r="489" ht="15.75" customHeight="1" spans="1:57" x14ac:dyDescent="0.25">
      <c r="A489" s="79"/>
      <c r="AN489" s="80"/>
      <c r="AO489" s="81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</row>
    <row r="490" ht="15.75" customHeight="1" spans="1:57" x14ac:dyDescent="0.25">
      <c r="A490" s="79"/>
      <c r="AN490" s="80"/>
      <c r="AO490" s="81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</row>
    <row r="491" ht="15.75" customHeight="1" spans="1:57" x14ac:dyDescent="0.25">
      <c r="A491" s="79"/>
      <c r="AN491" s="80"/>
      <c r="AO491" s="81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</row>
    <row r="492" ht="15.75" customHeight="1" spans="1:57" x14ac:dyDescent="0.25">
      <c r="A492" s="79"/>
      <c r="AN492" s="80"/>
      <c r="AO492" s="81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</row>
    <row r="493" ht="15.75" customHeight="1" spans="1:57" x14ac:dyDescent="0.25">
      <c r="A493" s="79"/>
      <c r="AN493" s="80"/>
      <c r="AO493" s="81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</row>
    <row r="494" ht="15.75" customHeight="1" spans="1:57" x14ac:dyDescent="0.25">
      <c r="A494" s="79"/>
      <c r="AN494" s="80"/>
      <c r="AO494" s="81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</row>
    <row r="495" ht="15.75" customHeight="1" spans="1:57" x14ac:dyDescent="0.25">
      <c r="A495" s="79"/>
      <c r="AN495" s="80"/>
      <c r="AO495" s="81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</row>
    <row r="496" ht="15.75" customHeight="1" spans="1:57" x14ac:dyDescent="0.25">
      <c r="A496" s="79"/>
      <c r="AN496" s="80"/>
      <c r="AO496" s="81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</row>
    <row r="497" ht="15.75" customHeight="1" spans="1:57" x14ac:dyDescent="0.25">
      <c r="A497" s="79"/>
      <c r="AN497" s="80"/>
      <c r="AO497" s="81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</row>
    <row r="498" ht="15.75" customHeight="1" spans="1:57" x14ac:dyDescent="0.25">
      <c r="A498" s="79"/>
      <c r="AN498" s="80"/>
      <c r="AO498" s="81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</row>
    <row r="499" ht="15.75" customHeight="1" spans="1:57" x14ac:dyDescent="0.25">
      <c r="A499" s="79"/>
      <c r="AN499" s="80"/>
      <c r="AO499" s="81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</row>
    <row r="500" ht="15.75" customHeight="1" spans="1:57" x14ac:dyDescent="0.25">
      <c r="A500" s="79"/>
      <c r="AN500" s="80"/>
      <c r="AO500" s="81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</row>
    <row r="501" ht="15.75" customHeight="1" spans="1:57" x14ac:dyDescent="0.25">
      <c r="A501" s="79"/>
      <c r="AN501" s="80"/>
      <c r="AO501" s="81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</row>
    <row r="502" ht="15.75" customHeight="1" spans="1:57" x14ac:dyDescent="0.25">
      <c r="A502" s="79"/>
      <c r="AN502" s="80"/>
      <c r="AO502" s="81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</row>
    <row r="503" ht="15.75" customHeight="1" spans="1:57" x14ac:dyDescent="0.25">
      <c r="A503" s="79"/>
      <c r="AN503" s="80"/>
      <c r="AO503" s="81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</row>
    <row r="504" ht="15.75" customHeight="1" spans="1:57" x14ac:dyDescent="0.25">
      <c r="A504" s="79"/>
      <c r="AN504" s="80"/>
      <c r="AO504" s="81"/>
      <c r="AT504" s="82"/>
      <c r="AU504" s="82"/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</row>
    <row r="505" ht="15.75" customHeight="1" spans="1:57" x14ac:dyDescent="0.25">
      <c r="A505" s="79"/>
      <c r="AN505" s="80"/>
      <c r="AO505" s="81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</row>
    <row r="506" ht="15.75" customHeight="1" spans="1:57" x14ac:dyDescent="0.25">
      <c r="A506" s="79"/>
      <c r="AN506" s="80"/>
      <c r="AO506" s="81"/>
      <c r="AT506" s="82"/>
      <c r="AU506" s="82"/>
      <c r="AV506" s="82"/>
      <c r="AW506" s="82"/>
      <c r="AX506" s="82"/>
      <c r="AY506" s="82"/>
      <c r="AZ506" s="82"/>
      <c r="BA506" s="82"/>
      <c r="BB506" s="82"/>
      <c r="BC506" s="82"/>
      <c r="BD506" s="82"/>
      <c r="BE506" s="82"/>
    </row>
    <row r="507" ht="15.75" customHeight="1" spans="1:57" x14ac:dyDescent="0.25">
      <c r="A507" s="79"/>
      <c r="AN507" s="80"/>
      <c r="AO507" s="81"/>
      <c r="AT507" s="82"/>
      <c r="AU507" s="82"/>
      <c r="AV507" s="82"/>
      <c r="AW507" s="82"/>
      <c r="AX507" s="82"/>
      <c r="AY507" s="82"/>
      <c r="AZ507" s="82"/>
      <c r="BA507" s="82"/>
      <c r="BB507" s="82"/>
      <c r="BC507" s="82"/>
      <c r="BD507" s="82"/>
      <c r="BE507" s="82"/>
    </row>
    <row r="508" ht="15.75" customHeight="1" spans="1:57" x14ac:dyDescent="0.25">
      <c r="A508" s="79"/>
      <c r="AN508" s="80"/>
      <c r="AO508" s="81"/>
      <c r="AT508" s="82"/>
      <c r="AU508" s="82"/>
      <c r="AV508" s="82"/>
      <c r="AW508" s="82"/>
      <c r="AX508" s="82"/>
      <c r="AY508" s="82"/>
      <c r="AZ508" s="82"/>
      <c r="BA508" s="82"/>
      <c r="BB508" s="82"/>
      <c r="BC508" s="82"/>
      <c r="BD508" s="82"/>
      <c r="BE508" s="82"/>
    </row>
    <row r="509" ht="15.75" customHeight="1" spans="1:57" x14ac:dyDescent="0.25">
      <c r="A509" s="79"/>
      <c r="AN509" s="80"/>
      <c r="AO509" s="81"/>
      <c r="AT509" s="82"/>
      <c r="AU509" s="82"/>
      <c r="AV509" s="82"/>
      <c r="AW509" s="82"/>
      <c r="AX509" s="82"/>
      <c r="AY509" s="82"/>
      <c r="AZ509" s="82"/>
      <c r="BA509" s="82"/>
      <c r="BB509" s="82"/>
      <c r="BC509" s="82"/>
      <c r="BD509" s="82"/>
      <c r="BE509" s="82"/>
    </row>
    <row r="510" ht="15.75" customHeight="1" spans="1:57" x14ac:dyDescent="0.25">
      <c r="A510" s="79"/>
      <c r="AN510" s="80"/>
      <c r="AO510" s="81"/>
      <c r="AT510" s="82"/>
      <c r="AU510" s="82"/>
      <c r="AV510" s="82"/>
      <c r="AW510" s="82"/>
      <c r="AX510" s="82"/>
      <c r="AY510" s="82"/>
      <c r="AZ510" s="82"/>
      <c r="BA510" s="82"/>
      <c r="BB510" s="82"/>
      <c r="BC510" s="82"/>
      <c r="BD510" s="82"/>
      <c r="BE510" s="82"/>
    </row>
    <row r="511" ht="15.75" customHeight="1" spans="1:57" x14ac:dyDescent="0.25">
      <c r="A511" s="79"/>
      <c r="AN511" s="80"/>
      <c r="AO511" s="81"/>
      <c r="AT511" s="82"/>
      <c r="AU511" s="82"/>
      <c r="AV511" s="82"/>
      <c r="AW511" s="82"/>
      <c r="AX511" s="82"/>
      <c r="AY511" s="82"/>
      <c r="AZ511" s="82"/>
      <c r="BA511" s="82"/>
      <c r="BB511" s="82"/>
      <c r="BC511" s="82"/>
      <c r="BD511" s="82"/>
      <c r="BE511" s="82"/>
    </row>
    <row r="512" ht="15.75" customHeight="1" spans="1:57" x14ac:dyDescent="0.25">
      <c r="A512" s="79"/>
      <c r="AN512" s="80"/>
      <c r="AO512" s="81"/>
      <c r="AT512" s="82"/>
      <c r="AU512" s="82"/>
      <c r="AV512" s="82"/>
      <c r="AW512" s="82"/>
      <c r="AX512" s="82"/>
      <c r="AY512" s="82"/>
      <c r="AZ512" s="82"/>
      <c r="BA512" s="82"/>
      <c r="BB512" s="82"/>
      <c r="BC512" s="82"/>
      <c r="BD512" s="82"/>
      <c r="BE512" s="82"/>
    </row>
    <row r="513" ht="15.75" customHeight="1" spans="1:57" x14ac:dyDescent="0.25">
      <c r="A513" s="79"/>
      <c r="AN513" s="80"/>
      <c r="AO513" s="81"/>
      <c r="AT513" s="82"/>
      <c r="AU513" s="82"/>
      <c r="AV513" s="82"/>
      <c r="AW513" s="82"/>
      <c r="AX513" s="82"/>
      <c r="AY513" s="82"/>
      <c r="AZ513" s="82"/>
      <c r="BA513" s="82"/>
      <c r="BB513" s="82"/>
      <c r="BC513" s="82"/>
      <c r="BD513" s="82"/>
      <c r="BE513" s="82"/>
    </row>
    <row r="514" ht="15.75" customHeight="1" spans="1:57" x14ac:dyDescent="0.25">
      <c r="A514" s="79"/>
      <c r="AN514" s="80"/>
      <c r="AO514" s="81"/>
      <c r="AT514" s="82"/>
      <c r="AU514" s="82"/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</row>
    <row r="515" ht="15.75" customHeight="1" spans="1:57" x14ac:dyDescent="0.25">
      <c r="A515" s="79"/>
      <c r="AN515" s="80"/>
      <c r="AO515" s="81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</row>
    <row r="516" ht="15.75" customHeight="1" spans="1:57" x14ac:dyDescent="0.25">
      <c r="A516" s="79"/>
      <c r="AN516" s="80"/>
      <c r="AO516" s="81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</row>
    <row r="517" ht="15.75" customHeight="1" spans="1:57" x14ac:dyDescent="0.25">
      <c r="A517" s="79"/>
      <c r="AN517" s="80"/>
      <c r="AO517" s="81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</row>
    <row r="518" ht="15.75" customHeight="1" spans="1:57" x14ac:dyDescent="0.25">
      <c r="A518" s="79"/>
      <c r="AN518" s="80"/>
      <c r="AO518" s="81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</row>
    <row r="519" ht="15.75" customHeight="1" spans="1:57" x14ac:dyDescent="0.25">
      <c r="A519" s="79"/>
      <c r="AN519" s="80"/>
      <c r="AO519" s="81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</row>
    <row r="520" ht="15.75" customHeight="1" spans="1:57" x14ac:dyDescent="0.25">
      <c r="A520" s="79"/>
      <c r="AN520" s="80"/>
      <c r="AO520" s="81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</row>
    <row r="521" ht="15.75" customHeight="1" spans="1:57" x14ac:dyDescent="0.25">
      <c r="A521" s="79"/>
      <c r="AN521" s="80"/>
      <c r="AO521" s="81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</row>
    <row r="522" ht="15.75" customHeight="1" spans="1:57" x14ac:dyDescent="0.25">
      <c r="A522" s="79"/>
      <c r="AN522" s="80"/>
      <c r="AO522" s="81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</row>
    <row r="523" ht="15.75" customHeight="1" spans="1:57" x14ac:dyDescent="0.25">
      <c r="A523" s="79"/>
      <c r="AN523" s="80"/>
      <c r="AO523" s="81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</row>
    <row r="524" ht="15.75" customHeight="1" spans="1:57" x14ac:dyDescent="0.25">
      <c r="A524" s="79"/>
      <c r="AN524" s="80"/>
      <c r="AO524" s="81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</row>
    <row r="525" ht="15.75" customHeight="1" spans="1:57" x14ac:dyDescent="0.25">
      <c r="A525" s="79"/>
      <c r="AN525" s="80"/>
      <c r="AO525" s="81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</row>
    <row r="526" ht="15.75" customHeight="1" spans="1:57" x14ac:dyDescent="0.25">
      <c r="A526" s="79"/>
      <c r="AN526" s="80"/>
      <c r="AO526" s="81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</row>
    <row r="527" ht="15.75" customHeight="1" spans="1:57" x14ac:dyDescent="0.25">
      <c r="A527" s="79"/>
      <c r="AN527" s="80"/>
      <c r="AO527" s="81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</row>
    <row r="528" ht="15.75" customHeight="1" spans="1:57" x14ac:dyDescent="0.25">
      <c r="A528" s="79"/>
      <c r="AN528" s="80"/>
      <c r="AO528" s="81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</row>
    <row r="529" ht="15.75" customHeight="1" spans="1:57" x14ac:dyDescent="0.25">
      <c r="A529" s="79"/>
      <c r="AN529" s="80"/>
      <c r="AO529" s="81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</row>
    <row r="530" ht="15.75" customHeight="1" spans="1:57" x14ac:dyDescent="0.25">
      <c r="A530" s="79"/>
      <c r="AN530" s="80"/>
      <c r="AO530" s="81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</row>
    <row r="531" ht="15.75" customHeight="1" spans="1:57" x14ac:dyDescent="0.25">
      <c r="A531" s="79"/>
      <c r="AN531" s="80"/>
      <c r="AO531" s="81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</row>
    <row r="532" ht="15.75" customHeight="1" spans="1:57" x14ac:dyDescent="0.25">
      <c r="A532" s="79"/>
      <c r="AN532" s="80"/>
      <c r="AO532" s="81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</row>
    <row r="533" ht="15.75" customHeight="1" spans="1:57" x14ac:dyDescent="0.25">
      <c r="A533" s="79"/>
      <c r="AN533" s="80"/>
      <c r="AO533" s="81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</row>
    <row r="534" ht="15.75" customHeight="1" spans="1:57" x14ac:dyDescent="0.25">
      <c r="A534" s="79"/>
      <c r="AN534" s="80"/>
      <c r="AO534" s="81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</row>
    <row r="535" ht="15.75" customHeight="1" spans="1:57" x14ac:dyDescent="0.25">
      <c r="A535" s="79"/>
      <c r="AN535" s="80"/>
      <c r="AO535" s="81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</row>
    <row r="536" ht="15.75" customHeight="1" spans="1:57" x14ac:dyDescent="0.25">
      <c r="A536" s="79"/>
      <c r="AN536" s="80"/>
      <c r="AO536" s="81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</row>
    <row r="537" ht="15.75" customHeight="1" spans="1:57" x14ac:dyDescent="0.25">
      <c r="A537" s="79"/>
      <c r="AN537" s="80"/>
      <c r="AO537" s="81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</row>
    <row r="538" ht="15.75" customHeight="1" spans="1:57" x14ac:dyDescent="0.25">
      <c r="A538" s="79"/>
      <c r="AN538" s="80"/>
      <c r="AO538" s="81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</row>
    <row r="539" ht="15.75" customHeight="1" spans="1:57" x14ac:dyDescent="0.25">
      <c r="A539" s="79"/>
      <c r="AN539" s="80"/>
      <c r="AO539" s="81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</row>
    <row r="540" ht="15.75" customHeight="1" spans="1:57" x14ac:dyDescent="0.25">
      <c r="A540" s="79"/>
      <c r="AN540" s="80"/>
      <c r="AO540" s="81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</row>
    <row r="541" ht="15.75" customHeight="1" spans="1:57" x14ac:dyDescent="0.25">
      <c r="A541" s="79"/>
      <c r="AN541" s="80"/>
      <c r="AO541" s="81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</row>
    <row r="542" ht="15.75" customHeight="1" spans="1:57" x14ac:dyDescent="0.25">
      <c r="A542" s="79"/>
      <c r="AN542" s="80"/>
      <c r="AO542" s="81"/>
      <c r="AT542" s="82"/>
      <c r="AU542" s="82"/>
      <c r="AV542" s="82"/>
      <c r="AW542" s="82"/>
      <c r="AX542" s="82"/>
      <c r="AY542" s="82"/>
      <c r="AZ542" s="82"/>
      <c r="BA542" s="82"/>
      <c r="BB542" s="82"/>
      <c r="BC542" s="82"/>
      <c r="BD542" s="82"/>
      <c r="BE542" s="82"/>
    </row>
    <row r="543" ht="15.75" customHeight="1" spans="1:57" x14ac:dyDescent="0.25">
      <c r="A543" s="79"/>
      <c r="AN543" s="80"/>
      <c r="AO543" s="81"/>
      <c r="AT543" s="82"/>
      <c r="AU543" s="82"/>
      <c r="AV543" s="82"/>
      <c r="AW543" s="82"/>
      <c r="AX543" s="82"/>
      <c r="AY543" s="82"/>
      <c r="AZ543" s="82"/>
      <c r="BA543" s="82"/>
      <c r="BB543" s="82"/>
      <c r="BC543" s="82"/>
      <c r="BD543" s="82"/>
      <c r="BE543" s="82"/>
    </row>
    <row r="544" ht="15.75" customHeight="1" spans="1:57" x14ac:dyDescent="0.25">
      <c r="A544" s="79"/>
      <c r="AN544" s="80"/>
      <c r="AO544" s="81"/>
      <c r="AT544" s="82"/>
      <c r="AU544" s="82"/>
      <c r="AV544" s="82"/>
      <c r="AW544" s="82"/>
      <c r="AX544" s="82"/>
      <c r="AY544" s="82"/>
      <c r="AZ544" s="82"/>
      <c r="BA544" s="82"/>
      <c r="BB544" s="82"/>
      <c r="BC544" s="82"/>
      <c r="BD544" s="82"/>
      <c r="BE544" s="82"/>
    </row>
    <row r="545" ht="15.75" customHeight="1" spans="1:57" x14ac:dyDescent="0.25">
      <c r="A545" s="79"/>
      <c r="AN545" s="80"/>
      <c r="AO545" s="81"/>
      <c r="AT545" s="82"/>
      <c r="AU545" s="82"/>
      <c r="AV545" s="82"/>
      <c r="AW545" s="82"/>
      <c r="AX545" s="82"/>
      <c r="AY545" s="82"/>
      <c r="AZ545" s="82"/>
      <c r="BA545" s="82"/>
      <c r="BB545" s="82"/>
      <c r="BC545" s="82"/>
      <c r="BD545" s="82"/>
      <c r="BE545" s="82"/>
    </row>
    <row r="546" ht="15.75" customHeight="1" spans="1:57" x14ac:dyDescent="0.25">
      <c r="A546" s="79"/>
      <c r="AN546" s="80"/>
      <c r="AO546" s="81"/>
      <c r="AT546" s="82"/>
      <c r="AU546" s="82"/>
      <c r="AV546" s="82"/>
      <c r="AW546" s="82"/>
      <c r="AX546" s="82"/>
      <c r="AY546" s="82"/>
      <c r="AZ546" s="82"/>
      <c r="BA546" s="82"/>
      <c r="BB546" s="82"/>
      <c r="BC546" s="82"/>
      <c r="BD546" s="82"/>
      <c r="BE546" s="82"/>
    </row>
    <row r="547" ht="15.75" customHeight="1" spans="1:57" x14ac:dyDescent="0.25">
      <c r="A547" s="79"/>
      <c r="AN547" s="80"/>
      <c r="AO547" s="81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82"/>
    </row>
    <row r="548" ht="15.75" customHeight="1" spans="1:57" x14ac:dyDescent="0.25">
      <c r="A548" s="79"/>
      <c r="AN548" s="80"/>
      <c r="AO548" s="81"/>
      <c r="AT548" s="82"/>
      <c r="AU548" s="82"/>
      <c r="AV548" s="82"/>
      <c r="AW548" s="82"/>
      <c r="AX548" s="82"/>
      <c r="AY548" s="82"/>
      <c r="AZ548" s="82"/>
      <c r="BA548" s="82"/>
      <c r="BB548" s="82"/>
      <c r="BC548" s="82"/>
      <c r="BD548" s="82"/>
      <c r="BE548" s="82"/>
    </row>
    <row r="549" ht="15.75" customHeight="1" spans="1:57" x14ac:dyDescent="0.25">
      <c r="A549" s="79"/>
      <c r="AN549" s="80"/>
      <c r="AO549" s="81"/>
      <c r="AT549" s="82"/>
      <c r="AU549" s="82"/>
      <c r="AV549" s="82"/>
      <c r="AW549" s="82"/>
      <c r="AX549" s="82"/>
      <c r="AY549" s="82"/>
      <c r="AZ549" s="82"/>
      <c r="BA549" s="82"/>
      <c r="BB549" s="82"/>
      <c r="BC549" s="82"/>
      <c r="BD549" s="82"/>
      <c r="BE549" s="82"/>
    </row>
    <row r="550" ht="15.75" customHeight="1" spans="1:57" x14ac:dyDescent="0.25">
      <c r="A550" s="79"/>
      <c r="AN550" s="80"/>
      <c r="AO550" s="81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</row>
    <row r="551" ht="15.75" customHeight="1" spans="1:57" x14ac:dyDescent="0.25">
      <c r="A551" s="79"/>
      <c r="AN551" s="80"/>
      <c r="AO551" s="81"/>
      <c r="AT551" s="82"/>
      <c r="AU551" s="82"/>
      <c r="AV551" s="82"/>
      <c r="AW551" s="82"/>
      <c r="AX551" s="82"/>
      <c r="AY551" s="82"/>
      <c r="AZ551" s="82"/>
      <c r="BA551" s="82"/>
      <c r="BB551" s="82"/>
      <c r="BC551" s="82"/>
      <c r="BD551" s="82"/>
      <c r="BE551" s="82"/>
    </row>
    <row r="552" ht="15.75" customHeight="1" spans="1:57" x14ac:dyDescent="0.25">
      <c r="A552" s="79"/>
      <c r="AN552" s="80"/>
      <c r="AO552" s="81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</row>
    <row r="553" ht="15.75" customHeight="1" spans="1:57" x14ac:dyDescent="0.25">
      <c r="A553" s="79"/>
      <c r="AN553" s="80"/>
      <c r="AO553" s="81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</row>
    <row r="554" ht="15.75" customHeight="1" spans="1:57" x14ac:dyDescent="0.25">
      <c r="A554" s="79"/>
      <c r="AN554" s="80"/>
      <c r="AO554" s="81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</row>
    <row r="555" ht="15.75" customHeight="1" spans="1:57" x14ac:dyDescent="0.25">
      <c r="A555" s="79"/>
      <c r="AN555" s="80"/>
      <c r="AO555" s="81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</row>
    <row r="556" ht="15.75" customHeight="1" spans="1:57" x14ac:dyDescent="0.25">
      <c r="A556" s="79"/>
      <c r="AN556" s="80"/>
      <c r="AO556" s="81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</row>
    <row r="557" ht="15.75" customHeight="1" spans="1:57" x14ac:dyDescent="0.25">
      <c r="A557" s="79"/>
      <c r="AN557" s="80"/>
      <c r="AO557" s="81"/>
      <c r="AT557" s="82"/>
      <c r="AU557" s="82"/>
      <c r="AV557" s="82"/>
      <c r="AW557" s="82"/>
      <c r="AX557" s="82"/>
      <c r="AY557" s="82"/>
      <c r="AZ557" s="82"/>
      <c r="BA557" s="82"/>
      <c r="BB557" s="82"/>
      <c r="BC557" s="82"/>
      <c r="BD557" s="82"/>
      <c r="BE557" s="82"/>
    </row>
    <row r="558" ht="15.75" customHeight="1" spans="1:57" x14ac:dyDescent="0.25">
      <c r="A558" s="79"/>
      <c r="AN558" s="80"/>
      <c r="AO558" s="81"/>
      <c r="AT558" s="82"/>
      <c r="AU558" s="82"/>
      <c r="AV558" s="82"/>
      <c r="AW558" s="82"/>
      <c r="AX558" s="82"/>
      <c r="AY558" s="82"/>
      <c r="AZ558" s="82"/>
      <c r="BA558" s="82"/>
      <c r="BB558" s="82"/>
      <c r="BC558" s="82"/>
      <c r="BD558" s="82"/>
      <c r="BE558" s="82"/>
    </row>
    <row r="559" ht="15.75" customHeight="1" spans="1:57" x14ac:dyDescent="0.25">
      <c r="A559" s="79"/>
      <c r="AN559" s="80"/>
      <c r="AO559" s="81"/>
      <c r="AT559" s="82"/>
      <c r="AU559" s="82"/>
      <c r="AV559" s="82"/>
      <c r="AW559" s="82"/>
      <c r="AX559" s="82"/>
      <c r="AY559" s="82"/>
      <c r="AZ559" s="82"/>
      <c r="BA559" s="82"/>
      <c r="BB559" s="82"/>
      <c r="BC559" s="82"/>
      <c r="BD559" s="82"/>
      <c r="BE559" s="82"/>
    </row>
    <row r="560" ht="15.75" customHeight="1" spans="1:57" x14ac:dyDescent="0.25">
      <c r="A560" s="79"/>
      <c r="AN560" s="80"/>
      <c r="AO560" s="81"/>
      <c r="AT560" s="82"/>
      <c r="AU560" s="82"/>
      <c r="AV560" s="82"/>
      <c r="AW560" s="82"/>
      <c r="AX560" s="82"/>
      <c r="AY560" s="82"/>
      <c r="AZ560" s="82"/>
      <c r="BA560" s="82"/>
      <c r="BB560" s="82"/>
      <c r="BC560" s="82"/>
      <c r="BD560" s="82"/>
      <c r="BE560" s="82"/>
    </row>
    <row r="561" ht="15.75" customHeight="1" spans="1:57" x14ac:dyDescent="0.25">
      <c r="A561" s="79"/>
      <c r="AN561" s="80"/>
      <c r="AO561" s="81"/>
      <c r="AT561" s="82"/>
      <c r="AU561" s="82"/>
      <c r="AV561" s="82"/>
      <c r="AW561" s="82"/>
      <c r="AX561" s="82"/>
      <c r="AY561" s="82"/>
      <c r="AZ561" s="82"/>
      <c r="BA561" s="82"/>
      <c r="BB561" s="82"/>
      <c r="BC561" s="82"/>
      <c r="BD561" s="82"/>
      <c r="BE561" s="82"/>
    </row>
    <row r="562" ht="15.75" customHeight="1" spans="1:57" x14ac:dyDescent="0.25">
      <c r="A562" s="79"/>
      <c r="AN562" s="80"/>
      <c r="AO562" s="81"/>
      <c r="AT562" s="82"/>
      <c r="AU562" s="82"/>
      <c r="AV562" s="82"/>
      <c r="AW562" s="82"/>
      <c r="AX562" s="82"/>
      <c r="AY562" s="82"/>
      <c r="AZ562" s="82"/>
      <c r="BA562" s="82"/>
      <c r="BB562" s="82"/>
      <c r="BC562" s="82"/>
      <c r="BD562" s="82"/>
      <c r="BE562" s="82"/>
    </row>
    <row r="563" ht="15.75" customHeight="1" spans="1:57" x14ac:dyDescent="0.25">
      <c r="A563" s="79"/>
      <c r="AN563" s="80"/>
      <c r="AO563" s="81"/>
      <c r="AT563" s="82"/>
      <c r="AU563" s="82"/>
      <c r="AV563" s="82"/>
      <c r="AW563" s="82"/>
      <c r="AX563" s="82"/>
      <c r="AY563" s="82"/>
      <c r="AZ563" s="82"/>
      <c r="BA563" s="82"/>
      <c r="BB563" s="82"/>
      <c r="BC563" s="82"/>
      <c r="BD563" s="82"/>
      <c r="BE563" s="82"/>
    </row>
    <row r="564" ht="15.75" customHeight="1" spans="1:57" x14ac:dyDescent="0.25">
      <c r="A564" s="79"/>
      <c r="AN564" s="80"/>
      <c r="AO564" s="81"/>
      <c r="AT564" s="82"/>
      <c r="AU564" s="82"/>
      <c r="AV564" s="82"/>
      <c r="AW564" s="82"/>
      <c r="AX564" s="82"/>
      <c r="AY564" s="82"/>
      <c r="AZ564" s="82"/>
      <c r="BA564" s="82"/>
      <c r="BB564" s="82"/>
      <c r="BC564" s="82"/>
      <c r="BD564" s="82"/>
      <c r="BE564" s="82"/>
    </row>
    <row r="565" ht="15.75" customHeight="1" spans="1:57" x14ac:dyDescent="0.25">
      <c r="A565" s="79"/>
      <c r="AN565" s="80"/>
      <c r="AO565" s="81"/>
      <c r="AT565" s="82"/>
      <c r="AU565" s="82"/>
      <c r="AV565" s="82"/>
      <c r="AW565" s="82"/>
      <c r="AX565" s="82"/>
      <c r="AY565" s="82"/>
      <c r="AZ565" s="82"/>
      <c r="BA565" s="82"/>
      <c r="BB565" s="82"/>
      <c r="BC565" s="82"/>
      <c r="BD565" s="82"/>
      <c r="BE565" s="82"/>
    </row>
    <row r="566" ht="15.75" customHeight="1" spans="1:57" x14ac:dyDescent="0.25">
      <c r="A566" s="79"/>
      <c r="AN566" s="80"/>
      <c r="AO566" s="81"/>
      <c r="AT566" s="82"/>
      <c r="AU566" s="82"/>
      <c r="AV566" s="82"/>
      <c r="AW566" s="82"/>
      <c r="AX566" s="82"/>
      <c r="AY566" s="82"/>
      <c r="AZ566" s="82"/>
      <c r="BA566" s="82"/>
      <c r="BB566" s="82"/>
      <c r="BC566" s="82"/>
      <c r="BD566" s="82"/>
      <c r="BE566" s="82"/>
    </row>
    <row r="567" ht="15.75" customHeight="1" spans="1:57" x14ac:dyDescent="0.25">
      <c r="A567" s="79"/>
      <c r="AN567" s="80"/>
      <c r="AO567" s="81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</row>
    <row r="568" ht="15.75" customHeight="1" spans="1:57" x14ac:dyDescent="0.25">
      <c r="A568" s="79"/>
      <c r="AN568" s="80"/>
      <c r="AO568" s="81"/>
      <c r="AT568" s="82"/>
      <c r="AU568" s="82"/>
      <c r="AV568" s="82"/>
      <c r="AW568" s="82"/>
      <c r="AX568" s="82"/>
      <c r="AY568" s="82"/>
      <c r="AZ568" s="82"/>
      <c r="BA568" s="82"/>
      <c r="BB568" s="82"/>
      <c r="BC568" s="82"/>
      <c r="BD568" s="82"/>
      <c r="BE568" s="82"/>
    </row>
    <row r="569" ht="15.75" customHeight="1" spans="1:57" x14ac:dyDescent="0.25">
      <c r="A569" s="79"/>
      <c r="AN569" s="80"/>
      <c r="AO569" s="81"/>
      <c r="AT569" s="82"/>
      <c r="AU569" s="82"/>
      <c r="AV569" s="82"/>
      <c r="AW569" s="82"/>
      <c r="AX569" s="82"/>
      <c r="AY569" s="82"/>
      <c r="AZ569" s="82"/>
      <c r="BA569" s="82"/>
      <c r="BB569" s="82"/>
      <c r="BC569" s="82"/>
      <c r="BD569" s="82"/>
      <c r="BE569" s="82"/>
    </row>
    <row r="570" ht="15.75" customHeight="1" spans="1:57" x14ac:dyDescent="0.25">
      <c r="A570" s="79"/>
      <c r="AN570" s="80"/>
      <c r="AO570" s="81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</row>
    <row r="571" ht="15.75" customHeight="1" spans="1:57" x14ac:dyDescent="0.25">
      <c r="A571" s="79"/>
      <c r="AN571" s="80"/>
      <c r="AO571" s="81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</row>
    <row r="572" ht="15.75" customHeight="1" spans="1:57" x14ac:dyDescent="0.25">
      <c r="A572" s="79"/>
      <c r="AN572" s="80"/>
      <c r="AO572" s="81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</row>
    <row r="573" ht="15.75" customHeight="1" spans="1:57" x14ac:dyDescent="0.25">
      <c r="A573" s="79"/>
      <c r="AN573" s="80"/>
      <c r="AO573" s="81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</row>
    <row r="574" ht="15.75" customHeight="1" spans="1:57" x14ac:dyDescent="0.25">
      <c r="A574" s="79"/>
      <c r="AN574" s="80"/>
      <c r="AO574" s="81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</row>
    <row r="575" ht="15.75" customHeight="1" spans="1:57" x14ac:dyDescent="0.25">
      <c r="A575" s="79"/>
      <c r="AN575" s="80"/>
      <c r="AO575" s="81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</row>
    <row r="576" ht="15.75" customHeight="1" spans="1:57" x14ac:dyDescent="0.25">
      <c r="A576" s="79"/>
      <c r="AN576" s="80"/>
      <c r="AO576" s="81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</row>
    <row r="577" ht="15.75" customHeight="1" spans="1:57" x14ac:dyDescent="0.25">
      <c r="A577" s="79"/>
      <c r="AN577" s="80"/>
      <c r="AO577" s="81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</row>
    <row r="578" ht="15.75" customHeight="1" spans="1:57" x14ac:dyDescent="0.25">
      <c r="A578" s="79"/>
      <c r="AN578" s="80"/>
      <c r="AO578" s="81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</row>
    <row r="579" ht="15.75" customHeight="1" spans="1:57" x14ac:dyDescent="0.25">
      <c r="A579" s="79"/>
      <c r="AN579" s="80"/>
      <c r="AO579" s="81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</row>
    <row r="580" ht="15.75" customHeight="1" spans="1:57" x14ac:dyDescent="0.25">
      <c r="A580" s="79"/>
      <c r="AN580" s="80"/>
      <c r="AO580" s="81"/>
      <c r="AT580" s="82"/>
      <c r="AU580" s="82"/>
      <c r="AV580" s="82"/>
      <c r="AW580" s="82"/>
      <c r="AX580" s="82"/>
      <c r="AY580" s="82"/>
      <c r="AZ580" s="82"/>
      <c r="BA580" s="82"/>
      <c r="BB580" s="82"/>
      <c r="BC580" s="82"/>
      <c r="BD580" s="82"/>
      <c r="BE580" s="82"/>
    </row>
    <row r="581" ht="15.75" customHeight="1" spans="1:57" x14ac:dyDescent="0.25">
      <c r="A581" s="79"/>
      <c r="AN581" s="80"/>
      <c r="AO581" s="81"/>
      <c r="AT581" s="82"/>
      <c r="AU581" s="82"/>
      <c r="AV581" s="82"/>
      <c r="AW581" s="82"/>
      <c r="AX581" s="82"/>
      <c r="AY581" s="82"/>
      <c r="AZ581" s="82"/>
      <c r="BA581" s="82"/>
      <c r="BB581" s="82"/>
      <c r="BC581" s="82"/>
      <c r="BD581" s="82"/>
      <c r="BE581" s="82"/>
    </row>
    <row r="582" ht="15.75" customHeight="1" spans="1:57" x14ac:dyDescent="0.25">
      <c r="A582" s="79"/>
      <c r="AN582" s="80"/>
      <c r="AO582" s="81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E582" s="82"/>
    </row>
    <row r="583" ht="15.75" customHeight="1" spans="1:57" x14ac:dyDescent="0.25">
      <c r="A583" s="79"/>
      <c r="AN583" s="80"/>
      <c r="AO583" s="81"/>
      <c r="AT583" s="82"/>
      <c r="AU583" s="82"/>
      <c r="AV583" s="82"/>
      <c r="AW583" s="82"/>
      <c r="AX583" s="82"/>
      <c r="AY583" s="82"/>
      <c r="AZ583" s="82"/>
      <c r="BA583" s="82"/>
      <c r="BB583" s="82"/>
      <c r="BC583" s="82"/>
      <c r="BD583" s="82"/>
      <c r="BE583" s="82"/>
    </row>
    <row r="584" ht="15.75" customHeight="1" spans="1:57" x14ac:dyDescent="0.25">
      <c r="A584" s="79"/>
      <c r="AN584" s="80"/>
      <c r="AO584" s="81"/>
      <c r="AT584" s="82"/>
      <c r="AU584" s="82"/>
      <c r="AV584" s="82"/>
      <c r="AW584" s="82"/>
      <c r="AX584" s="82"/>
      <c r="AY584" s="82"/>
      <c r="AZ584" s="82"/>
      <c r="BA584" s="82"/>
      <c r="BB584" s="82"/>
      <c r="BC584" s="82"/>
      <c r="BD584" s="82"/>
      <c r="BE584" s="82"/>
    </row>
    <row r="585" ht="15.75" customHeight="1" spans="1:57" x14ac:dyDescent="0.25">
      <c r="A585" s="79"/>
      <c r="AN585" s="80"/>
      <c r="AO585" s="81"/>
      <c r="AT585" s="82"/>
      <c r="AU585" s="82"/>
      <c r="AV585" s="82"/>
      <c r="AW585" s="82"/>
      <c r="AX585" s="82"/>
      <c r="AY585" s="82"/>
      <c r="AZ585" s="82"/>
      <c r="BA585" s="82"/>
      <c r="BB585" s="82"/>
      <c r="BC585" s="82"/>
      <c r="BD585" s="82"/>
      <c r="BE585" s="82"/>
    </row>
    <row r="586" ht="15.75" customHeight="1" spans="1:57" x14ac:dyDescent="0.25">
      <c r="A586" s="79"/>
      <c r="AN586" s="80"/>
      <c r="AO586" s="81"/>
      <c r="AT586" s="82"/>
      <c r="AU586" s="82"/>
      <c r="AV586" s="82"/>
      <c r="AW586" s="82"/>
      <c r="AX586" s="82"/>
      <c r="AY586" s="82"/>
      <c r="AZ586" s="82"/>
      <c r="BA586" s="82"/>
      <c r="BB586" s="82"/>
      <c r="BC586" s="82"/>
      <c r="BD586" s="82"/>
      <c r="BE586" s="82"/>
    </row>
    <row r="587" ht="15.75" customHeight="1" spans="1:57" x14ac:dyDescent="0.25">
      <c r="A587" s="79"/>
      <c r="AN587" s="80"/>
      <c r="AO587" s="81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</row>
    <row r="588" ht="15.75" customHeight="1" spans="1:57" x14ac:dyDescent="0.25">
      <c r="A588" s="79"/>
      <c r="AN588" s="80"/>
      <c r="AO588" s="81"/>
      <c r="AT588" s="82"/>
      <c r="AU588" s="82"/>
      <c r="AV588" s="82"/>
      <c r="AW588" s="82"/>
      <c r="AX588" s="82"/>
      <c r="AY588" s="82"/>
      <c r="AZ588" s="82"/>
      <c r="BA588" s="82"/>
      <c r="BB588" s="82"/>
      <c r="BC588" s="82"/>
      <c r="BD588" s="82"/>
      <c r="BE588" s="82"/>
    </row>
    <row r="589" ht="15.75" customHeight="1" spans="1:57" x14ac:dyDescent="0.25">
      <c r="A589" s="79"/>
      <c r="AN589" s="80"/>
      <c r="AO589" s="81"/>
      <c r="AT589" s="82"/>
      <c r="AU589" s="82"/>
      <c r="AV589" s="82"/>
      <c r="AW589" s="82"/>
      <c r="AX589" s="82"/>
      <c r="AY589" s="82"/>
      <c r="AZ589" s="82"/>
      <c r="BA589" s="82"/>
      <c r="BB589" s="82"/>
      <c r="BC589" s="82"/>
      <c r="BD589" s="82"/>
      <c r="BE589" s="82"/>
    </row>
    <row r="590" ht="15.75" customHeight="1" spans="1:57" x14ac:dyDescent="0.25">
      <c r="A590" s="79"/>
      <c r="AN590" s="80"/>
      <c r="AO590" s="81"/>
      <c r="AT590" s="82"/>
      <c r="AU590" s="82"/>
      <c r="AV590" s="82"/>
      <c r="AW590" s="82"/>
      <c r="AX590" s="82"/>
      <c r="AY590" s="82"/>
      <c r="AZ590" s="82"/>
      <c r="BA590" s="82"/>
      <c r="BB590" s="82"/>
      <c r="BC590" s="82"/>
      <c r="BD590" s="82"/>
      <c r="BE590" s="82"/>
    </row>
    <row r="591" ht="15.75" customHeight="1" spans="1:57" x14ac:dyDescent="0.25">
      <c r="A591" s="79"/>
      <c r="AN591" s="80"/>
      <c r="AO591" s="81"/>
      <c r="AT591" s="82"/>
      <c r="AU591" s="82"/>
      <c r="AV591" s="82"/>
      <c r="AW591" s="82"/>
      <c r="AX591" s="82"/>
      <c r="AY591" s="82"/>
      <c r="AZ591" s="82"/>
      <c r="BA591" s="82"/>
      <c r="BB591" s="82"/>
      <c r="BC591" s="82"/>
      <c r="BD591" s="82"/>
      <c r="BE591" s="82"/>
    </row>
    <row r="592" ht="15.75" customHeight="1" spans="1:57" x14ac:dyDescent="0.25">
      <c r="A592" s="79"/>
      <c r="AN592" s="80"/>
      <c r="AO592" s="81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</row>
    <row r="593" ht="15.75" customHeight="1" spans="1:57" x14ac:dyDescent="0.25">
      <c r="A593" s="79"/>
      <c r="AN593" s="80"/>
      <c r="AO593" s="81"/>
      <c r="AT593" s="82"/>
      <c r="AU593" s="82"/>
      <c r="AV593" s="82"/>
      <c r="AW593" s="82"/>
      <c r="AX593" s="82"/>
      <c r="AY593" s="82"/>
      <c r="AZ593" s="82"/>
      <c r="BA593" s="82"/>
      <c r="BB593" s="82"/>
      <c r="BC593" s="82"/>
      <c r="BD593" s="82"/>
      <c r="BE593" s="82"/>
    </row>
    <row r="594" ht="15.75" customHeight="1" spans="1:57" x14ac:dyDescent="0.25">
      <c r="A594" s="79"/>
      <c r="AN594" s="80"/>
      <c r="AO594" s="81"/>
      <c r="AT594" s="82"/>
      <c r="AU594" s="82"/>
      <c r="AV594" s="82"/>
      <c r="AW594" s="82"/>
      <c r="AX594" s="82"/>
      <c r="AY594" s="82"/>
      <c r="AZ594" s="82"/>
      <c r="BA594" s="82"/>
      <c r="BB594" s="82"/>
      <c r="BC594" s="82"/>
      <c r="BD594" s="82"/>
      <c r="BE594" s="82"/>
    </row>
    <row r="595" ht="15.75" customHeight="1" spans="1:57" x14ac:dyDescent="0.25">
      <c r="A595" s="79"/>
      <c r="AN595" s="80"/>
      <c r="AO595" s="81"/>
      <c r="AT595" s="82"/>
      <c r="AU595" s="82"/>
      <c r="AV595" s="82"/>
      <c r="AW595" s="82"/>
      <c r="AX595" s="82"/>
      <c r="AY595" s="82"/>
      <c r="AZ595" s="82"/>
      <c r="BA595" s="82"/>
      <c r="BB595" s="82"/>
      <c r="BC595" s="82"/>
      <c r="BD595" s="82"/>
      <c r="BE595" s="82"/>
    </row>
    <row r="596" ht="15.75" customHeight="1" spans="1:57" x14ac:dyDescent="0.25">
      <c r="A596" s="79"/>
      <c r="AN596" s="80"/>
      <c r="AO596" s="81"/>
      <c r="AT596" s="82"/>
      <c r="AU596" s="82"/>
      <c r="AV596" s="82"/>
      <c r="AW596" s="82"/>
      <c r="AX596" s="82"/>
      <c r="AY596" s="82"/>
      <c r="AZ596" s="82"/>
      <c r="BA596" s="82"/>
      <c r="BB596" s="82"/>
      <c r="BC596" s="82"/>
      <c r="BD596" s="82"/>
      <c r="BE596" s="82"/>
    </row>
    <row r="597" ht="15.75" customHeight="1" spans="1:57" x14ac:dyDescent="0.25">
      <c r="A597" s="79"/>
      <c r="AN597" s="80"/>
      <c r="AO597" s="81"/>
      <c r="AT597" s="82"/>
      <c r="AU597" s="82"/>
      <c r="AV597" s="82"/>
      <c r="AW597" s="82"/>
      <c r="AX597" s="82"/>
      <c r="AY597" s="82"/>
      <c r="AZ597" s="82"/>
      <c r="BA597" s="82"/>
      <c r="BB597" s="82"/>
      <c r="BC597" s="82"/>
      <c r="BD597" s="82"/>
      <c r="BE597" s="82"/>
    </row>
    <row r="598" ht="15.75" customHeight="1" spans="1:57" x14ac:dyDescent="0.25">
      <c r="A598" s="79"/>
      <c r="AN598" s="80"/>
      <c r="AO598" s="81"/>
      <c r="AT598" s="82"/>
      <c r="AU598" s="82"/>
      <c r="AV598" s="82"/>
      <c r="AW598" s="82"/>
      <c r="AX598" s="82"/>
      <c r="AY598" s="82"/>
      <c r="AZ598" s="82"/>
      <c r="BA598" s="82"/>
      <c r="BB598" s="82"/>
      <c r="BC598" s="82"/>
      <c r="BD598" s="82"/>
      <c r="BE598" s="82"/>
    </row>
    <row r="599" ht="15.75" customHeight="1" spans="1:57" x14ac:dyDescent="0.25">
      <c r="A599" s="79"/>
      <c r="AN599" s="80"/>
      <c r="AO599" s="81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82"/>
    </row>
    <row r="600" ht="15.75" customHeight="1" spans="1:57" x14ac:dyDescent="0.25">
      <c r="A600" s="79"/>
      <c r="AN600" s="80"/>
      <c r="AO600" s="81"/>
      <c r="AT600" s="82"/>
      <c r="AU600" s="82"/>
      <c r="AV600" s="82"/>
      <c r="AW600" s="82"/>
      <c r="AX600" s="82"/>
      <c r="AY600" s="82"/>
      <c r="AZ600" s="82"/>
      <c r="BA600" s="82"/>
      <c r="BB600" s="82"/>
      <c r="BC600" s="82"/>
      <c r="BD600" s="82"/>
      <c r="BE600" s="82"/>
    </row>
    <row r="601" ht="15.75" customHeight="1" spans="1:57" x14ac:dyDescent="0.25">
      <c r="A601" s="79"/>
      <c r="AN601" s="80"/>
      <c r="AO601" s="81"/>
      <c r="AT601" s="82"/>
      <c r="AU601" s="82"/>
      <c r="AV601" s="82"/>
      <c r="AW601" s="82"/>
      <c r="AX601" s="82"/>
      <c r="AY601" s="82"/>
      <c r="AZ601" s="82"/>
      <c r="BA601" s="82"/>
      <c r="BB601" s="82"/>
      <c r="BC601" s="82"/>
      <c r="BD601" s="82"/>
      <c r="BE601" s="82"/>
    </row>
    <row r="602" ht="15.75" customHeight="1" spans="1:57" x14ac:dyDescent="0.25">
      <c r="A602" s="79"/>
      <c r="AN602" s="80"/>
      <c r="AO602" s="81"/>
      <c r="AT602" s="82"/>
      <c r="AU602" s="82"/>
      <c r="AV602" s="82"/>
      <c r="AW602" s="82"/>
      <c r="AX602" s="82"/>
      <c r="AY602" s="82"/>
      <c r="AZ602" s="82"/>
      <c r="BA602" s="82"/>
      <c r="BB602" s="82"/>
      <c r="BC602" s="82"/>
      <c r="BD602" s="82"/>
      <c r="BE602" s="82"/>
    </row>
    <row r="603" ht="15.75" customHeight="1" spans="1:57" x14ac:dyDescent="0.25">
      <c r="A603" s="79"/>
      <c r="AN603" s="80"/>
      <c r="AO603" s="81"/>
      <c r="AT603" s="82"/>
      <c r="AU603" s="82"/>
      <c r="AV603" s="82"/>
      <c r="AW603" s="82"/>
      <c r="AX603" s="82"/>
      <c r="AY603" s="82"/>
      <c r="AZ603" s="82"/>
      <c r="BA603" s="82"/>
      <c r="BB603" s="82"/>
      <c r="BC603" s="82"/>
      <c r="BD603" s="82"/>
      <c r="BE603" s="82"/>
    </row>
    <row r="604" ht="15.75" customHeight="1" spans="1:57" x14ac:dyDescent="0.25">
      <c r="A604" s="79"/>
      <c r="AN604" s="80"/>
      <c r="AO604" s="81"/>
      <c r="AT604" s="82"/>
      <c r="AU604" s="82"/>
      <c r="AV604" s="82"/>
      <c r="AW604" s="82"/>
      <c r="AX604" s="82"/>
      <c r="AY604" s="82"/>
      <c r="AZ604" s="82"/>
      <c r="BA604" s="82"/>
      <c r="BB604" s="82"/>
      <c r="BC604" s="82"/>
      <c r="BD604" s="82"/>
      <c r="BE604" s="82"/>
    </row>
    <row r="605" ht="15.75" customHeight="1" spans="1:57" x14ac:dyDescent="0.25">
      <c r="A605" s="79"/>
      <c r="AN605" s="80"/>
      <c r="AO605" s="81"/>
      <c r="AT605" s="82"/>
      <c r="AU605" s="82"/>
      <c r="AV605" s="82"/>
      <c r="AW605" s="82"/>
      <c r="AX605" s="82"/>
      <c r="AY605" s="82"/>
      <c r="AZ605" s="82"/>
      <c r="BA605" s="82"/>
      <c r="BB605" s="82"/>
      <c r="BC605" s="82"/>
      <c r="BD605" s="82"/>
      <c r="BE605" s="82"/>
    </row>
    <row r="606" ht="15.75" customHeight="1" spans="1:57" x14ac:dyDescent="0.25">
      <c r="A606" s="79"/>
      <c r="AN606" s="80"/>
      <c r="AO606" s="81"/>
      <c r="AT606" s="82"/>
      <c r="AU606" s="82"/>
      <c r="AV606" s="82"/>
      <c r="AW606" s="82"/>
      <c r="AX606" s="82"/>
      <c r="AY606" s="82"/>
      <c r="AZ606" s="82"/>
      <c r="BA606" s="82"/>
      <c r="BB606" s="82"/>
      <c r="BC606" s="82"/>
      <c r="BD606" s="82"/>
      <c r="BE606" s="82"/>
    </row>
    <row r="607" ht="15.75" customHeight="1" spans="1:57" x14ac:dyDescent="0.25">
      <c r="A607" s="79"/>
      <c r="AN607" s="80"/>
      <c r="AO607" s="81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</row>
    <row r="608" ht="15.75" customHeight="1" spans="1:57" x14ac:dyDescent="0.25">
      <c r="A608" s="79"/>
      <c r="AN608" s="80"/>
      <c r="AO608" s="81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</row>
    <row r="609" ht="15.75" customHeight="1" spans="1:57" x14ac:dyDescent="0.25">
      <c r="A609" s="79"/>
      <c r="AN609" s="80"/>
      <c r="AO609" s="81"/>
      <c r="AT609" s="82"/>
      <c r="AU609" s="82"/>
      <c r="AV609" s="82"/>
      <c r="AW609" s="82"/>
      <c r="AX609" s="82"/>
      <c r="AY609" s="82"/>
      <c r="AZ609" s="82"/>
      <c r="BA609" s="82"/>
      <c r="BB609" s="82"/>
      <c r="BC609" s="82"/>
      <c r="BD609" s="82"/>
      <c r="BE609" s="82"/>
    </row>
    <row r="610" ht="15.75" customHeight="1" spans="1:57" x14ac:dyDescent="0.25">
      <c r="A610" s="79"/>
      <c r="AN610" s="80"/>
      <c r="AO610" s="81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</row>
    <row r="611" ht="15.75" customHeight="1" spans="1:57" x14ac:dyDescent="0.25">
      <c r="A611" s="79"/>
      <c r="AN611" s="80"/>
      <c r="AO611" s="81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</row>
    <row r="612" ht="15.75" customHeight="1" spans="1:57" x14ac:dyDescent="0.25">
      <c r="A612" s="79"/>
      <c r="AN612" s="80"/>
      <c r="AO612" s="81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</row>
    <row r="613" ht="15.75" customHeight="1" spans="1:57" x14ac:dyDescent="0.25">
      <c r="A613" s="79"/>
      <c r="AN613" s="80"/>
      <c r="AO613" s="81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</row>
    <row r="614" ht="15.75" customHeight="1" spans="1:57" x14ac:dyDescent="0.25">
      <c r="A614" s="79"/>
      <c r="AN614" s="80"/>
      <c r="AO614" s="81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</row>
    <row r="615" ht="15.75" customHeight="1" spans="1:57" x14ac:dyDescent="0.25">
      <c r="A615" s="79"/>
      <c r="AN615" s="80"/>
      <c r="AO615" s="81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</row>
    <row r="616" ht="15.75" customHeight="1" spans="1:57" x14ac:dyDescent="0.25">
      <c r="A616" s="79"/>
      <c r="AN616" s="80"/>
      <c r="AO616" s="81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</row>
    <row r="617" ht="15.75" customHeight="1" spans="1:57" x14ac:dyDescent="0.25">
      <c r="A617" s="79"/>
      <c r="AN617" s="80"/>
      <c r="AO617" s="81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</row>
    <row r="618" ht="15.75" customHeight="1" spans="1:57" x14ac:dyDescent="0.25">
      <c r="A618" s="79"/>
      <c r="AN618" s="80"/>
      <c r="AO618" s="81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</row>
    <row r="619" ht="15.75" customHeight="1" spans="1:57" x14ac:dyDescent="0.25">
      <c r="A619" s="79"/>
      <c r="AN619" s="80"/>
      <c r="AO619" s="81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</row>
    <row r="620" ht="15.75" customHeight="1" spans="1:57" x14ac:dyDescent="0.25">
      <c r="A620" s="79"/>
      <c r="AN620" s="80"/>
      <c r="AO620" s="81"/>
      <c r="AT620" s="82"/>
      <c r="AU620" s="82"/>
      <c r="AV620" s="82"/>
      <c r="AW620" s="82"/>
      <c r="AX620" s="82"/>
      <c r="AY620" s="82"/>
      <c r="AZ620" s="82"/>
      <c r="BA620" s="82"/>
      <c r="BB620" s="82"/>
      <c r="BC620" s="82"/>
      <c r="BD620" s="82"/>
      <c r="BE620" s="82"/>
    </row>
    <row r="621" ht="15.75" customHeight="1" spans="1:57" x14ac:dyDescent="0.25">
      <c r="A621" s="79"/>
      <c r="AN621" s="80"/>
      <c r="AO621" s="81"/>
      <c r="AT621" s="82"/>
      <c r="AU621" s="82"/>
      <c r="AV621" s="82"/>
      <c r="AW621" s="82"/>
      <c r="AX621" s="82"/>
      <c r="AY621" s="82"/>
      <c r="AZ621" s="82"/>
      <c r="BA621" s="82"/>
      <c r="BB621" s="82"/>
      <c r="BC621" s="82"/>
      <c r="BD621" s="82"/>
      <c r="BE621" s="82"/>
    </row>
    <row r="622" ht="15.75" customHeight="1" spans="1:57" x14ac:dyDescent="0.25">
      <c r="A622" s="79"/>
      <c r="AN622" s="80"/>
      <c r="AO622" s="81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E622" s="82"/>
    </row>
    <row r="623" ht="15.75" customHeight="1" spans="1:57" x14ac:dyDescent="0.25">
      <c r="A623" s="79"/>
      <c r="AN623" s="80"/>
      <c r="AO623" s="81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E623" s="82"/>
    </row>
    <row r="624" ht="15.75" customHeight="1" spans="1:57" x14ac:dyDescent="0.25">
      <c r="A624" s="79"/>
      <c r="AN624" s="80"/>
      <c r="AO624" s="81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E624" s="82"/>
    </row>
    <row r="625" ht="15.75" customHeight="1" spans="1:57" x14ac:dyDescent="0.25">
      <c r="A625" s="79"/>
      <c r="AN625" s="80"/>
      <c r="AO625" s="81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82"/>
    </row>
    <row r="626" ht="15.75" customHeight="1" spans="1:57" x14ac:dyDescent="0.25">
      <c r="A626" s="79"/>
      <c r="AN626" s="80"/>
      <c r="AO626" s="81"/>
      <c r="AT626" s="82"/>
      <c r="AU626" s="82"/>
      <c r="AV626" s="82"/>
      <c r="AW626" s="82"/>
      <c r="AX626" s="82"/>
      <c r="AY626" s="82"/>
      <c r="AZ626" s="82"/>
      <c r="BA626" s="82"/>
      <c r="BB626" s="82"/>
      <c r="BC626" s="82"/>
      <c r="BD626" s="82"/>
      <c r="BE626" s="82"/>
    </row>
    <row r="627" ht="15.75" customHeight="1" spans="1:57" x14ac:dyDescent="0.25">
      <c r="A627" s="79"/>
      <c r="AN627" s="80"/>
      <c r="AO627" s="81"/>
      <c r="AT627" s="82"/>
      <c r="AU627" s="82"/>
      <c r="AV627" s="82"/>
      <c r="AW627" s="82"/>
      <c r="AX627" s="82"/>
      <c r="AY627" s="82"/>
      <c r="AZ627" s="82"/>
      <c r="BA627" s="82"/>
      <c r="BB627" s="82"/>
      <c r="BC627" s="82"/>
      <c r="BD627" s="82"/>
      <c r="BE627" s="82"/>
    </row>
    <row r="628" ht="15.75" customHeight="1" spans="1:57" x14ac:dyDescent="0.25">
      <c r="A628" s="79"/>
      <c r="AN628" s="80"/>
      <c r="AO628" s="81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E628" s="82"/>
    </row>
    <row r="629" ht="15.75" customHeight="1" spans="1:57" x14ac:dyDescent="0.25">
      <c r="A629" s="79"/>
      <c r="AN629" s="80"/>
      <c r="AO629" s="81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E629" s="82"/>
    </row>
    <row r="630" ht="15.75" customHeight="1" spans="1:57" x14ac:dyDescent="0.25">
      <c r="A630" s="79"/>
      <c r="AN630" s="80"/>
      <c r="AO630" s="81"/>
      <c r="AT630" s="82"/>
      <c r="AU630" s="82"/>
      <c r="AV630" s="82"/>
      <c r="AW630" s="82"/>
      <c r="AX630" s="82"/>
      <c r="AY630" s="82"/>
      <c r="AZ630" s="82"/>
      <c r="BA630" s="82"/>
      <c r="BB630" s="82"/>
      <c r="BC630" s="82"/>
      <c r="BD630" s="82"/>
      <c r="BE630" s="82"/>
    </row>
    <row r="631" ht="15.75" customHeight="1" spans="1:57" x14ac:dyDescent="0.25">
      <c r="A631" s="79"/>
      <c r="AN631" s="80"/>
      <c r="AO631" s="81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E631" s="82"/>
    </row>
    <row r="632" ht="15.75" customHeight="1" spans="1:57" x14ac:dyDescent="0.25">
      <c r="A632" s="79"/>
      <c r="AN632" s="80"/>
      <c r="AO632" s="81"/>
      <c r="AT632" s="82"/>
      <c r="AU632" s="82"/>
      <c r="AV632" s="82"/>
      <c r="AW632" s="82"/>
      <c r="AX632" s="82"/>
      <c r="AY632" s="82"/>
      <c r="AZ632" s="82"/>
      <c r="BA632" s="82"/>
      <c r="BB632" s="82"/>
      <c r="BC632" s="82"/>
      <c r="BD632" s="82"/>
      <c r="BE632" s="82"/>
    </row>
    <row r="633" ht="15.75" customHeight="1" spans="1:57" x14ac:dyDescent="0.25">
      <c r="A633" s="79"/>
      <c r="AN633" s="80"/>
      <c r="AO633" s="81"/>
      <c r="AT633" s="82"/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E633" s="82"/>
    </row>
    <row r="634" ht="15.75" customHeight="1" spans="1:57" x14ac:dyDescent="0.25">
      <c r="A634" s="79"/>
      <c r="AN634" s="80"/>
      <c r="AO634" s="81"/>
      <c r="AT634" s="82"/>
      <c r="AU634" s="82"/>
      <c r="AV634" s="82"/>
      <c r="AW634" s="82"/>
      <c r="AX634" s="82"/>
      <c r="AY634" s="82"/>
      <c r="AZ634" s="82"/>
      <c r="BA634" s="82"/>
      <c r="BB634" s="82"/>
      <c r="BC634" s="82"/>
      <c r="BD634" s="82"/>
      <c r="BE634" s="82"/>
    </row>
    <row r="635" ht="15.75" customHeight="1" spans="1:57" x14ac:dyDescent="0.25">
      <c r="A635" s="79"/>
      <c r="AN635" s="80"/>
      <c r="AO635" s="81"/>
      <c r="AT635" s="82"/>
      <c r="AU635" s="82"/>
      <c r="AV635" s="82"/>
      <c r="AW635" s="82"/>
      <c r="AX635" s="82"/>
      <c r="AY635" s="82"/>
      <c r="AZ635" s="82"/>
      <c r="BA635" s="82"/>
      <c r="BB635" s="82"/>
      <c r="BC635" s="82"/>
      <c r="BD635" s="82"/>
      <c r="BE635" s="82"/>
    </row>
    <row r="636" ht="15.75" customHeight="1" spans="1:57" x14ac:dyDescent="0.25">
      <c r="A636" s="79"/>
      <c r="AN636" s="80"/>
      <c r="AO636" s="81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E636" s="82"/>
    </row>
    <row r="637" ht="15.75" customHeight="1" spans="1:57" x14ac:dyDescent="0.25">
      <c r="A637" s="79"/>
      <c r="AN637" s="80"/>
      <c r="AO637" s="81"/>
      <c r="AT637" s="82"/>
      <c r="AU637" s="82"/>
      <c r="AV637" s="82"/>
      <c r="AW637" s="82"/>
      <c r="AX637" s="82"/>
      <c r="AY637" s="82"/>
      <c r="AZ637" s="82"/>
      <c r="BA637" s="82"/>
      <c r="BB637" s="82"/>
      <c r="BC637" s="82"/>
      <c r="BD637" s="82"/>
      <c r="BE637" s="82"/>
    </row>
    <row r="638" ht="15.75" customHeight="1" spans="1:57" x14ac:dyDescent="0.25">
      <c r="A638" s="79"/>
      <c r="AN638" s="80"/>
      <c r="AO638" s="81"/>
      <c r="AT638" s="82"/>
      <c r="AU638" s="82"/>
      <c r="AV638" s="82"/>
      <c r="AW638" s="82"/>
      <c r="AX638" s="82"/>
      <c r="AY638" s="82"/>
      <c r="AZ638" s="82"/>
      <c r="BA638" s="82"/>
      <c r="BB638" s="82"/>
      <c r="BC638" s="82"/>
      <c r="BD638" s="82"/>
      <c r="BE638" s="82"/>
    </row>
    <row r="639" ht="15.75" customHeight="1" spans="1:57" x14ac:dyDescent="0.25">
      <c r="A639" s="79"/>
      <c r="AN639" s="80"/>
      <c r="AO639" s="81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E639" s="82"/>
    </row>
    <row r="640" ht="15.75" customHeight="1" spans="1:57" x14ac:dyDescent="0.25">
      <c r="A640" s="79"/>
      <c r="AN640" s="80"/>
      <c r="AO640" s="81"/>
      <c r="AT640" s="82"/>
      <c r="AU640" s="82"/>
      <c r="AV640" s="82"/>
      <c r="AW640" s="82"/>
      <c r="AX640" s="82"/>
      <c r="AY640" s="82"/>
      <c r="AZ640" s="82"/>
      <c r="BA640" s="82"/>
      <c r="BB640" s="82"/>
      <c r="BC640" s="82"/>
      <c r="BD640" s="82"/>
      <c r="BE640" s="82"/>
    </row>
    <row r="641" ht="15.75" customHeight="1" spans="1:57" x14ac:dyDescent="0.25">
      <c r="A641" s="79"/>
      <c r="AN641" s="80"/>
      <c r="AO641" s="81"/>
      <c r="AT641" s="82"/>
      <c r="AU641" s="82"/>
      <c r="AV641" s="82"/>
      <c r="AW641" s="82"/>
      <c r="AX641" s="82"/>
      <c r="AY641" s="82"/>
      <c r="AZ641" s="82"/>
      <c r="BA641" s="82"/>
      <c r="BB641" s="82"/>
      <c r="BC641" s="82"/>
      <c r="BD641" s="82"/>
      <c r="BE641" s="82"/>
    </row>
    <row r="642" ht="15.75" customHeight="1" spans="1:57" x14ac:dyDescent="0.25">
      <c r="A642" s="79"/>
      <c r="AN642" s="80"/>
      <c r="AO642" s="81"/>
      <c r="AT642" s="82"/>
      <c r="AU642" s="82"/>
      <c r="AV642" s="82"/>
      <c r="AW642" s="82"/>
      <c r="AX642" s="82"/>
      <c r="AY642" s="82"/>
      <c r="AZ642" s="82"/>
      <c r="BA642" s="82"/>
      <c r="BB642" s="82"/>
      <c r="BC642" s="82"/>
      <c r="BD642" s="82"/>
      <c r="BE642" s="82"/>
    </row>
    <row r="643" ht="15.75" customHeight="1" spans="1:57" x14ac:dyDescent="0.25">
      <c r="A643" s="79"/>
      <c r="AN643" s="80"/>
      <c r="AO643" s="81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E643" s="82"/>
    </row>
    <row r="644" ht="15.75" customHeight="1" spans="1:57" x14ac:dyDescent="0.25">
      <c r="A644" s="79"/>
      <c r="AN644" s="80"/>
      <c r="AO644" s="81"/>
      <c r="AT644" s="82"/>
      <c r="AU644" s="82"/>
      <c r="AV644" s="82"/>
      <c r="AW644" s="82"/>
      <c r="AX644" s="82"/>
      <c r="AY644" s="82"/>
      <c r="AZ644" s="82"/>
      <c r="BA644" s="82"/>
      <c r="BB644" s="82"/>
      <c r="BC644" s="82"/>
      <c r="BD644" s="82"/>
      <c r="BE644" s="82"/>
    </row>
    <row r="645" ht="15.75" customHeight="1" spans="1:57" x14ac:dyDescent="0.25">
      <c r="A645" s="79"/>
      <c r="AN645" s="80"/>
      <c r="AO645" s="81"/>
      <c r="AT645" s="82"/>
      <c r="AU645" s="82"/>
      <c r="AV645" s="82"/>
      <c r="AW645" s="82"/>
      <c r="AX645" s="82"/>
      <c r="AY645" s="82"/>
      <c r="AZ645" s="82"/>
      <c r="BA645" s="82"/>
      <c r="BB645" s="82"/>
      <c r="BC645" s="82"/>
      <c r="BD645" s="82"/>
      <c r="BE645" s="82"/>
    </row>
    <row r="646" ht="15.75" customHeight="1" spans="1:57" x14ac:dyDescent="0.25">
      <c r="A646" s="79"/>
      <c r="AN646" s="80"/>
      <c r="AO646" s="81"/>
      <c r="AT646" s="82"/>
      <c r="AU646" s="82"/>
      <c r="AV646" s="82"/>
      <c r="AW646" s="82"/>
      <c r="AX646" s="82"/>
      <c r="AY646" s="82"/>
      <c r="AZ646" s="82"/>
      <c r="BA646" s="82"/>
      <c r="BB646" s="82"/>
      <c r="BC646" s="82"/>
      <c r="BD646" s="82"/>
      <c r="BE646" s="82"/>
    </row>
    <row r="647" ht="15.75" customHeight="1" spans="1:57" x14ac:dyDescent="0.25">
      <c r="A647" s="79"/>
      <c r="AN647" s="80"/>
      <c r="AO647" s="81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</row>
    <row r="648" ht="15.75" customHeight="1" spans="1:57" x14ac:dyDescent="0.25">
      <c r="A648" s="79"/>
      <c r="AN648" s="80"/>
      <c r="AO648" s="81"/>
      <c r="AT648" s="82"/>
      <c r="AU648" s="82"/>
      <c r="AV648" s="82"/>
      <c r="AW648" s="82"/>
      <c r="AX648" s="82"/>
      <c r="AY648" s="82"/>
      <c r="AZ648" s="82"/>
      <c r="BA648" s="82"/>
      <c r="BB648" s="82"/>
      <c r="BC648" s="82"/>
      <c r="BD648" s="82"/>
      <c r="BE648" s="82"/>
    </row>
    <row r="649" ht="15.75" customHeight="1" spans="1:57" x14ac:dyDescent="0.25">
      <c r="A649" s="79"/>
      <c r="AN649" s="80"/>
      <c r="AO649" s="81"/>
      <c r="AT649" s="82"/>
      <c r="AU649" s="82"/>
      <c r="AV649" s="82"/>
      <c r="AW649" s="82"/>
      <c r="AX649" s="82"/>
      <c r="AY649" s="82"/>
      <c r="AZ649" s="82"/>
      <c r="BA649" s="82"/>
      <c r="BB649" s="82"/>
      <c r="BC649" s="82"/>
      <c r="BD649" s="82"/>
      <c r="BE649" s="82"/>
    </row>
    <row r="650" ht="15.75" customHeight="1" spans="1:57" x14ac:dyDescent="0.25">
      <c r="A650" s="79"/>
      <c r="AN650" s="80"/>
      <c r="AO650" s="81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</row>
    <row r="651" ht="15.75" customHeight="1" spans="1:57" x14ac:dyDescent="0.25">
      <c r="A651" s="79"/>
      <c r="AN651" s="80"/>
      <c r="AO651" s="81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</row>
    <row r="652" ht="15.75" customHeight="1" spans="1:57" x14ac:dyDescent="0.25">
      <c r="A652" s="79"/>
      <c r="AN652" s="80"/>
      <c r="AO652" s="81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</row>
    <row r="653" ht="15.75" customHeight="1" spans="1:57" x14ac:dyDescent="0.25">
      <c r="A653" s="79"/>
      <c r="AN653" s="80"/>
      <c r="AO653" s="81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</row>
    <row r="654" ht="15.75" customHeight="1" spans="1:57" x14ac:dyDescent="0.25">
      <c r="A654" s="79"/>
      <c r="AN654" s="80"/>
      <c r="AO654" s="81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</row>
    <row r="655" ht="15.75" customHeight="1" spans="1:57" x14ac:dyDescent="0.25">
      <c r="A655" s="79"/>
      <c r="AN655" s="80"/>
      <c r="AO655" s="81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</row>
    <row r="656" ht="15.75" customHeight="1" spans="1:57" x14ac:dyDescent="0.25">
      <c r="A656" s="79"/>
      <c r="AN656" s="80"/>
      <c r="AO656" s="81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</row>
    <row r="657" ht="15.75" customHeight="1" spans="1:57" x14ac:dyDescent="0.25">
      <c r="A657" s="79"/>
      <c r="AN657" s="80"/>
      <c r="AO657" s="81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</row>
    <row r="658" ht="15.75" customHeight="1" spans="1:57" x14ac:dyDescent="0.25">
      <c r="A658" s="79"/>
      <c r="AN658" s="80"/>
      <c r="AO658" s="81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</row>
    <row r="659" ht="15.75" customHeight="1" spans="1:57" x14ac:dyDescent="0.25">
      <c r="A659" s="79"/>
      <c r="AN659" s="80"/>
      <c r="AO659" s="81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</row>
    <row r="660" ht="15.75" customHeight="1" spans="1:57" x14ac:dyDescent="0.25">
      <c r="A660" s="79"/>
      <c r="AN660" s="80"/>
      <c r="AO660" s="81"/>
      <c r="AT660" s="82"/>
      <c r="AU660" s="82"/>
      <c r="AV660" s="82"/>
      <c r="AW660" s="82"/>
      <c r="AX660" s="82"/>
      <c r="AY660" s="82"/>
      <c r="AZ660" s="82"/>
      <c r="BA660" s="82"/>
      <c r="BB660" s="82"/>
      <c r="BC660" s="82"/>
      <c r="BD660" s="82"/>
      <c r="BE660" s="82"/>
    </row>
    <row r="661" ht="15.75" customHeight="1" spans="1:57" x14ac:dyDescent="0.25">
      <c r="A661" s="79"/>
      <c r="AN661" s="80"/>
      <c r="AO661" s="81"/>
      <c r="AT661" s="82"/>
      <c r="AU661" s="82"/>
      <c r="AV661" s="82"/>
      <c r="AW661" s="82"/>
      <c r="AX661" s="82"/>
      <c r="AY661" s="82"/>
      <c r="AZ661" s="82"/>
      <c r="BA661" s="82"/>
      <c r="BB661" s="82"/>
      <c r="BC661" s="82"/>
      <c r="BD661" s="82"/>
      <c r="BE661" s="82"/>
    </row>
    <row r="662" ht="15.75" customHeight="1" spans="1:57" x14ac:dyDescent="0.25">
      <c r="A662" s="79"/>
      <c r="AN662" s="80"/>
      <c r="AO662" s="81"/>
      <c r="AT662" s="82"/>
      <c r="AU662" s="82"/>
      <c r="AV662" s="82"/>
      <c r="AW662" s="82"/>
      <c r="AX662" s="82"/>
      <c r="AY662" s="82"/>
      <c r="AZ662" s="82"/>
      <c r="BA662" s="82"/>
      <c r="BB662" s="82"/>
      <c r="BC662" s="82"/>
      <c r="BD662" s="82"/>
      <c r="BE662" s="82"/>
    </row>
    <row r="663" ht="15.75" customHeight="1" spans="1:57" x14ac:dyDescent="0.25">
      <c r="A663" s="79"/>
      <c r="AN663" s="80"/>
      <c r="AO663" s="81"/>
      <c r="AT663" s="82"/>
      <c r="AU663" s="82"/>
      <c r="AV663" s="82"/>
      <c r="AW663" s="82"/>
      <c r="AX663" s="82"/>
      <c r="AY663" s="82"/>
      <c r="AZ663" s="82"/>
      <c r="BA663" s="82"/>
      <c r="BB663" s="82"/>
      <c r="BC663" s="82"/>
      <c r="BD663" s="82"/>
      <c r="BE663" s="82"/>
    </row>
    <row r="664" ht="15.75" customHeight="1" spans="1:57" x14ac:dyDescent="0.25">
      <c r="A664" s="79"/>
      <c r="AN664" s="80"/>
      <c r="AO664" s="81"/>
      <c r="AT664" s="82"/>
      <c r="AU664" s="82"/>
      <c r="AV664" s="82"/>
      <c r="AW664" s="82"/>
      <c r="AX664" s="82"/>
      <c r="AY664" s="82"/>
      <c r="AZ664" s="82"/>
      <c r="BA664" s="82"/>
      <c r="BB664" s="82"/>
      <c r="BC664" s="82"/>
      <c r="BD664" s="82"/>
      <c r="BE664" s="82"/>
    </row>
    <row r="665" ht="15.75" customHeight="1" spans="1:57" x14ac:dyDescent="0.25">
      <c r="A665" s="79"/>
      <c r="AN665" s="80"/>
      <c r="AO665" s="81"/>
      <c r="AT665" s="82"/>
      <c r="AU665" s="82"/>
      <c r="AV665" s="82"/>
      <c r="AW665" s="82"/>
      <c r="AX665" s="82"/>
      <c r="AY665" s="82"/>
      <c r="AZ665" s="82"/>
      <c r="BA665" s="82"/>
      <c r="BB665" s="82"/>
      <c r="BC665" s="82"/>
      <c r="BD665" s="82"/>
      <c r="BE665" s="82"/>
    </row>
    <row r="666" ht="15.75" customHeight="1" spans="1:57" x14ac:dyDescent="0.25">
      <c r="A666" s="79"/>
      <c r="AN666" s="80"/>
      <c r="AO666" s="81"/>
      <c r="AT666" s="82"/>
      <c r="AU666" s="82"/>
      <c r="AV666" s="82"/>
      <c r="AW666" s="82"/>
      <c r="AX666" s="82"/>
      <c r="AY666" s="82"/>
      <c r="AZ666" s="82"/>
      <c r="BA666" s="82"/>
      <c r="BB666" s="82"/>
      <c r="BC666" s="82"/>
      <c r="BD666" s="82"/>
      <c r="BE666" s="82"/>
    </row>
    <row r="667" ht="15.75" customHeight="1" spans="1:57" x14ac:dyDescent="0.25">
      <c r="A667" s="79"/>
      <c r="AN667" s="80"/>
      <c r="AO667" s="81"/>
      <c r="AT667" s="82"/>
      <c r="AU667" s="82"/>
      <c r="AV667" s="82"/>
      <c r="AW667" s="82"/>
      <c r="AX667" s="82"/>
      <c r="AY667" s="82"/>
      <c r="AZ667" s="82"/>
      <c r="BA667" s="82"/>
      <c r="BB667" s="82"/>
      <c r="BC667" s="82"/>
      <c r="BD667" s="82"/>
      <c r="BE667" s="82"/>
    </row>
    <row r="668" ht="15.75" customHeight="1" spans="1:57" x14ac:dyDescent="0.25">
      <c r="A668" s="79"/>
      <c r="AN668" s="80"/>
      <c r="AO668" s="81"/>
      <c r="AT668" s="82"/>
      <c r="AU668" s="82"/>
      <c r="AV668" s="82"/>
      <c r="AW668" s="82"/>
      <c r="AX668" s="82"/>
      <c r="AY668" s="82"/>
      <c r="AZ668" s="82"/>
      <c r="BA668" s="82"/>
      <c r="BB668" s="82"/>
      <c r="BC668" s="82"/>
      <c r="BD668" s="82"/>
      <c r="BE668" s="82"/>
    </row>
    <row r="669" ht="15.75" customHeight="1" spans="1:57" x14ac:dyDescent="0.25">
      <c r="A669" s="79"/>
      <c r="AN669" s="80"/>
      <c r="AO669" s="81"/>
      <c r="AT669" s="82"/>
      <c r="AU669" s="82"/>
      <c r="AV669" s="82"/>
      <c r="AW669" s="82"/>
      <c r="AX669" s="82"/>
      <c r="AY669" s="82"/>
      <c r="AZ669" s="82"/>
      <c r="BA669" s="82"/>
      <c r="BB669" s="82"/>
      <c r="BC669" s="82"/>
      <c r="BD669" s="82"/>
      <c r="BE669" s="82"/>
    </row>
    <row r="670" ht="15.75" customHeight="1" spans="1:57" x14ac:dyDescent="0.25">
      <c r="A670" s="79"/>
      <c r="AN670" s="80"/>
      <c r="AO670" s="81"/>
      <c r="AT670" s="82"/>
      <c r="AU670" s="82"/>
      <c r="AV670" s="82"/>
      <c r="AW670" s="82"/>
      <c r="AX670" s="82"/>
      <c r="AY670" s="82"/>
      <c r="AZ670" s="82"/>
      <c r="BA670" s="82"/>
      <c r="BB670" s="82"/>
      <c r="BC670" s="82"/>
      <c r="BD670" s="82"/>
      <c r="BE670" s="82"/>
    </row>
    <row r="671" ht="15.75" customHeight="1" spans="1:57" x14ac:dyDescent="0.25">
      <c r="A671" s="79"/>
      <c r="AN671" s="80"/>
      <c r="AO671" s="81"/>
      <c r="AT671" s="82"/>
      <c r="AU671" s="82"/>
      <c r="AV671" s="82"/>
      <c r="AW671" s="82"/>
      <c r="AX671" s="82"/>
      <c r="AY671" s="82"/>
      <c r="AZ671" s="82"/>
      <c r="BA671" s="82"/>
      <c r="BB671" s="82"/>
      <c r="BC671" s="82"/>
      <c r="BD671" s="82"/>
      <c r="BE671" s="82"/>
    </row>
    <row r="672" ht="15.75" customHeight="1" spans="1:57" x14ac:dyDescent="0.25">
      <c r="A672" s="79"/>
      <c r="AN672" s="80"/>
      <c r="AO672" s="81"/>
      <c r="AT672" s="82"/>
      <c r="AU672" s="82"/>
      <c r="AV672" s="82"/>
      <c r="AW672" s="82"/>
      <c r="AX672" s="82"/>
      <c r="AY672" s="82"/>
      <c r="AZ672" s="82"/>
      <c r="BA672" s="82"/>
      <c r="BB672" s="82"/>
      <c r="BC672" s="82"/>
      <c r="BD672" s="82"/>
      <c r="BE672" s="82"/>
    </row>
    <row r="673" ht="15.75" customHeight="1" spans="1:57" x14ac:dyDescent="0.25">
      <c r="A673" s="79"/>
      <c r="AN673" s="80"/>
      <c r="AO673" s="81"/>
      <c r="AT673" s="82"/>
      <c r="AU673" s="82"/>
      <c r="AV673" s="82"/>
      <c r="AW673" s="82"/>
      <c r="AX673" s="82"/>
      <c r="AY673" s="82"/>
      <c r="AZ673" s="82"/>
      <c r="BA673" s="82"/>
      <c r="BB673" s="82"/>
      <c r="BC673" s="82"/>
      <c r="BD673" s="82"/>
      <c r="BE673" s="82"/>
    </row>
    <row r="674" ht="15.75" customHeight="1" spans="1:57" x14ac:dyDescent="0.25">
      <c r="A674" s="79"/>
      <c r="AN674" s="80"/>
      <c r="AO674" s="81"/>
      <c r="AT674" s="82"/>
      <c r="AU674" s="82"/>
      <c r="AV674" s="82"/>
      <c r="AW674" s="82"/>
      <c r="AX674" s="82"/>
      <c r="AY674" s="82"/>
      <c r="AZ674" s="82"/>
      <c r="BA674" s="82"/>
      <c r="BB674" s="82"/>
      <c r="BC674" s="82"/>
      <c r="BD674" s="82"/>
      <c r="BE674" s="82"/>
    </row>
    <row r="675" ht="15.75" customHeight="1" spans="1:57" x14ac:dyDescent="0.25">
      <c r="A675" s="79"/>
      <c r="AN675" s="80"/>
      <c r="AO675" s="81"/>
      <c r="AT675" s="82"/>
      <c r="AU675" s="82"/>
      <c r="AV675" s="82"/>
      <c r="AW675" s="82"/>
      <c r="AX675" s="82"/>
      <c r="AY675" s="82"/>
      <c r="AZ675" s="82"/>
      <c r="BA675" s="82"/>
      <c r="BB675" s="82"/>
      <c r="BC675" s="82"/>
      <c r="BD675" s="82"/>
      <c r="BE675" s="82"/>
    </row>
    <row r="676" ht="15.75" customHeight="1" spans="1:57" x14ac:dyDescent="0.25">
      <c r="A676" s="79"/>
      <c r="AN676" s="80"/>
      <c r="AO676" s="81"/>
      <c r="AT676" s="82"/>
      <c r="AU676" s="82"/>
      <c r="AV676" s="82"/>
      <c r="AW676" s="82"/>
      <c r="AX676" s="82"/>
      <c r="AY676" s="82"/>
      <c r="AZ676" s="82"/>
      <c r="BA676" s="82"/>
      <c r="BB676" s="82"/>
      <c r="BC676" s="82"/>
      <c r="BD676" s="82"/>
      <c r="BE676" s="82"/>
    </row>
    <row r="677" ht="15.75" customHeight="1" spans="1:57" x14ac:dyDescent="0.25">
      <c r="A677" s="79"/>
      <c r="AN677" s="80"/>
      <c r="AO677" s="81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82"/>
    </row>
    <row r="678" ht="15.75" customHeight="1" spans="1:57" x14ac:dyDescent="0.25">
      <c r="A678" s="79"/>
      <c r="AN678" s="80"/>
      <c r="AO678" s="81"/>
      <c r="AT678" s="82"/>
      <c r="AU678" s="82"/>
      <c r="AV678" s="82"/>
      <c r="AW678" s="82"/>
      <c r="AX678" s="82"/>
      <c r="AY678" s="82"/>
      <c r="AZ678" s="82"/>
      <c r="BA678" s="82"/>
      <c r="BB678" s="82"/>
      <c r="BC678" s="82"/>
      <c r="BD678" s="82"/>
      <c r="BE678" s="82"/>
    </row>
    <row r="679" ht="15.75" customHeight="1" spans="1:57" x14ac:dyDescent="0.25">
      <c r="A679" s="79"/>
      <c r="AN679" s="80"/>
      <c r="AO679" s="81"/>
      <c r="AT679" s="82"/>
      <c r="AU679" s="82"/>
      <c r="AV679" s="82"/>
      <c r="AW679" s="82"/>
      <c r="AX679" s="82"/>
      <c r="AY679" s="82"/>
      <c r="AZ679" s="82"/>
      <c r="BA679" s="82"/>
      <c r="BB679" s="82"/>
      <c r="BC679" s="82"/>
      <c r="BD679" s="82"/>
      <c r="BE679" s="82"/>
    </row>
    <row r="680" ht="15.75" customHeight="1" spans="1:57" x14ac:dyDescent="0.25">
      <c r="A680" s="79"/>
      <c r="AN680" s="80"/>
      <c r="AO680" s="81"/>
      <c r="AT680" s="82"/>
      <c r="AU680" s="82"/>
      <c r="AV680" s="82"/>
      <c r="AW680" s="82"/>
      <c r="AX680" s="82"/>
      <c r="AY680" s="82"/>
      <c r="AZ680" s="82"/>
      <c r="BA680" s="82"/>
      <c r="BB680" s="82"/>
      <c r="BC680" s="82"/>
      <c r="BD680" s="82"/>
      <c r="BE680" s="82"/>
    </row>
    <row r="681" ht="15.75" customHeight="1" spans="1:57" x14ac:dyDescent="0.25">
      <c r="A681" s="79"/>
      <c r="AN681" s="80"/>
      <c r="AO681" s="81"/>
      <c r="AT681" s="82"/>
      <c r="AU681" s="82"/>
      <c r="AV681" s="82"/>
      <c r="AW681" s="82"/>
      <c r="AX681" s="82"/>
      <c r="AY681" s="82"/>
      <c r="AZ681" s="82"/>
      <c r="BA681" s="82"/>
      <c r="BB681" s="82"/>
      <c r="BC681" s="82"/>
      <c r="BD681" s="82"/>
      <c r="BE681" s="82"/>
    </row>
    <row r="682" ht="15.75" customHeight="1" spans="1:57" x14ac:dyDescent="0.25">
      <c r="A682" s="79"/>
      <c r="AN682" s="80"/>
      <c r="AO682" s="81"/>
      <c r="AT682" s="82"/>
      <c r="AU682" s="82"/>
      <c r="AV682" s="82"/>
      <c r="AW682" s="82"/>
      <c r="AX682" s="82"/>
      <c r="AY682" s="82"/>
      <c r="AZ682" s="82"/>
      <c r="BA682" s="82"/>
      <c r="BB682" s="82"/>
      <c r="BC682" s="82"/>
      <c r="BD682" s="82"/>
      <c r="BE682" s="82"/>
    </row>
    <row r="683" ht="15.75" customHeight="1" spans="1:57" x14ac:dyDescent="0.25">
      <c r="A683" s="79"/>
      <c r="AN683" s="80"/>
      <c r="AO683" s="81"/>
      <c r="AT683" s="82"/>
      <c r="AU683" s="82"/>
      <c r="AV683" s="82"/>
      <c r="AW683" s="82"/>
      <c r="AX683" s="82"/>
      <c r="AY683" s="82"/>
      <c r="AZ683" s="82"/>
      <c r="BA683" s="82"/>
      <c r="BB683" s="82"/>
      <c r="BC683" s="82"/>
      <c r="BD683" s="82"/>
      <c r="BE683" s="82"/>
    </row>
    <row r="684" ht="15.75" customHeight="1" spans="1:57" x14ac:dyDescent="0.25">
      <c r="A684" s="79"/>
      <c r="AN684" s="80"/>
      <c r="AO684" s="81"/>
      <c r="AT684" s="82"/>
      <c r="AU684" s="82"/>
      <c r="AV684" s="82"/>
      <c r="AW684" s="82"/>
      <c r="AX684" s="82"/>
      <c r="AY684" s="82"/>
      <c r="AZ684" s="82"/>
      <c r="BA684" s="82"/>
      <c r="BB684" s="82"/>
      <c r="BC684" s="82"/>
      <c r="BD684" s="82"/>
      <c r="BE684" s="82"/>
    </row>
    <row r="685" ht="15.75" customHeight="1" spans="1:57" x14ac:dyDescent="0.25">
      <c r="A685" s="79"/>
      <c r="AN685" s="80"/>
      <c r="AO685" s="81"/>
      <c r="AT685" s="82"/>
      <c r="AU685" s="82"/>
      <c r="AV685" s="82"/>
      <c r="AW685" s="82"/>
      <c r="AX685" s="82"/>
      <c r="AY685" s="82"/>
      <c r="AZ685" s="82"/>
      <c r="BA685" s="82"/>
      <c r="BB685" s="82"/>
      <c r="BC685" s="82"/>
      <c r="BD685" s="82"/>
      <c r="BE685" s="82"/>
    </row>
    <row r="686" ht="15.75" customHeight="1" spans="1:57" x14ac:dyDescent="0.25">
      <c r="A686" s="79"/>
      <c r="AN686" s="80"/>
      <c r="AO686" s="81"/>
      <c r="AT686" s="82"/>
      <c r="AU686" s="82"/>
      <c r="AV686" s="82"/>
      <c r="AW686" s="82"/>
      <c r="AX686" s="82"/>
      <c r="AY686" s="82"/>
      <c r="AZ686" s="82"/>
      <c r="BA686" s="82"/>
      <c r="BB686" s="82"/>
      <c r="BC686" s="82"/>
      <c r="BD686" s="82"/>
      <c r="BE686" s="82"/>
    </row>
    <row r="687" ht="15.75" customHeight="1" spans="1:57" x14ac:dyDescent="0.25">
      <c r="A687" s="79"/>
      <c r="AN687" s="80"/>
      <c r="AO687" s="81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</row>
    <row r="688" ht="15.75" customHeight="1" spans="1:57" x14ac:dyDescent="0.25">
      <c r="A688" s="79"/>
      <c r="AN688" s="80"/>
      <c r="AO688" s="81"/>
      <c r="AT688" s="82"/>
      <c r="AU688" s="82"/>
      <c r="AV688" s="82"/>
      <c r="AW688" s="82"/>
      <c r="AX688" s="82"/>
      <c r="AY688" s="82"/>
      <c r="AZ688" s="82"/>
      <c r="BA688" s="82"/>
      <c r="BB688" s="82"/>
      <c r="BC688" s="82"/>
      <c r="BD688" s="82"/>
      <c r="BE688" s="82"/>
    </row>
    <row r="689" ht="15.75" customHeight="1" spans="1:57" x14ac:dyDescent="0.25">
      <c r="A689" s="79"/>
      <c r="AN689" s="80"/>
      <c r="AO689" s="81"/>
      <c r="AT689" s="82"/>
      <c r="AU689" s="82"/>
      <c r="AV689" s="82"/>
      <c r="AW689" s="82"/>
      <c r="AX689" s="82"/>
      <c r="AY689" s="82"/>
      <c r="AZ689" s="82"/>
      <c r="BA689" s="82"/>
      <c r="BB689" s="82"/>
      <c r="BC689" s="82"/>
      <c r="BD689" s="82"/>
      <c r="BE689" s="82"/>
    </row>
    <row r="690" ht="15.75" customHeight="1" spans="1:57" x14ac:dyDescent="0.25">
      <c r="A690" s="79"/>
      <c r="AN690" s="80"/>
      <c r="AO690" s="81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</row>
    <row r="691" ht="15.75" customHeight="1" spans="1:57" x14ac:dyDescent="0.25">
      <c r="A691" s="79"/>
      <c r="AN691" s="80"/>
      <c r="AO691" s="81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</row>
    <row r="692" ht="15.75" customHeight="1" spans="1:57" x14ac:dyDescent="0.25">
      <c r="A692" s="79"/>
      <c r="AN692" s="80"/>
      <c r="AO692" s="81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</row>
    <row r="693" ht="15.75" customHeight="1" spans="1:57" x14ac:dyDescent="0.25">
      <c r="A693" s="79"/>
      <c r="AN693" s="80"/>
      <c r="AO693" s="81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</row>
    <row r="694" ht="15.75" customHeight="1" spans="1:57" x14ac:dyDescent="0.25">
      <c r="A694" s="79"/>
      <c r="AN694" s="80"/>
      <c r="AO694" s="81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</row>
    <row r="695" ht="15.75" customHeight="1" spans="1:57" x14ac:dyDescent="0.25">
      <c r="A695" s="79"/>
      <c r="AN695" s="80"/>
      <c r="AO695" s="81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</row>
    <row r="696" ht="15.75" customHeight="1" spans="1:57" x14ac:dyDescent="0.25">
      <c r="A696" s="79"/>
      <c r="AN696" s="80"/>
      <c r="AO696" s="81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</row>
    <row r="697" ht="15.75" customHeight="1" spans="1:57" x14ac:dyDescent="0.25">
      <c r="A697" s="79"/>
      <c r="AN697" s="80"/>
      <c r="AO697" s="81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</row>
    <row r="698" ht="15.75" customHeight="1" spans="1:57" x14ac:dyDescent="0.25">
      <c r="A698" s="79"/>
      <c r="AN698" s="80"/>
      <c r="AO698" s="81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</row>
    <row r="699" ht="15.75" customHeight="1" spans="1:57" x14ac:dyDescent="0.25">
      <c r="A699" s="79"/>
      <c r="AN699" s="80"/>
      <c r="AO699" s="81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</row>
    <row r="700" ht="15.75" customHeight="1" spans="1:57" x14ac:dyDescent="0.25">
      <c r="A700" s="79"/>
      <c r="AN700" s="80"/>
      <c r="AO700" s="81"/>
      <c r="AT700" s="82"/>
      <c r="AU700" s="82"/>
      <c r="AV700" s="82"/>
      <c r="AW700" s="82"/>
      <c r="AX700" s="82"/>
      <c r="AY700" s="82"/>
      <c r="AZ700" s="82"/>
      <c r="BA700" s="82"/>
      <c r="BB700" s="82"/>
      <c r="BC700" s="82"/>
      <c r="BD700" s="82"/>
      <c r="BE700" s="82"/>
    </row>
    <row r="701" ht="15.75" customHeight="1" spans="1:57" x14ac:dyDescent="0.25">
      <c r="A701" s="79"/>
      <c r="AN701" s="80"/>
      <c r="AO701" s="81"/>
      <c r="AT701" s="82"/>
      <c r="AU701" s="82"/>
      <c r="AV701" s="82"/>
      <c r="AW701" s="82"/>
      <c r="AX701" s="82"/>
      <c r="AY701" s="82"/>
      <c r="AZ701" s="82"/>
      <c r="BA701" s="82"/>
      <c r="BB701" s="82"/>
      <c r="BC701" s="82"/>
      <c r="BD701" s="82"/>
      <c r="BE701" s="82"/>
    </row>
    <row r="702" ht="15.75" customHeight="1" spans="1:57" x14ac:dyDescent="0.25">
      <c r="A702" s="79"/>
      <c r="AN702" s="80"/>
      <c r="AO702" s="81"/>
      <c r="AT702" s="82"/>
      <c r="AU702" s="82"/>
      <c r="AV702" s="82"/>
      <c r="AW702" s="82"/>
      <c r="AX702" s="82"/>
      <c r="AY702" s="82"/>
      <c r="AZ702" s="82"/>
      <c r="BA702" s="82"/>
      <c r="BB702" s="82"/>
      <c r="BC702" s="82"/>
      <c r="BD702" s="82"/>
      <c r="BE702" s="82"/>
    </row>
    <row r="703" ht="15.75" customHeight="1" spans="1:57" x14ac:dyDescent="0.25">
      <c r="A703" s="79"/>
      <c r="AN703" s="80"/>
      <c r="AO703" s="81"/>
      <c r="AT703" s="82"/>
      <c r="AU703" s="82"/>
      <c r="AV703" s="82"/>
      <c r="AW703" s="82"/>
      <c r="AX703" s="82"/>
      <c r="AY703" s="82"/>
      <c r="AZ703" s="82"/>
      <c r="BA703" s="82"/>
      <c r="BB703" s="82"/>
      <c r="BC703" s="82"/>
      <c r="BD703" s="82"/>
      <c r="BE703" s="82"/>
    </row>
    <row r="704" ht="15.75" customHeight="1" spans="1:57" x14ac:dyDescent="0.25">
      <c r="A704" s="79"/>
      <c r="AN704" s="80"/>
      <c r="AO704" s="81"/>
      <c r="AT704" s="82"/>
      <c r="AU704" s="82"/>
      <c r="AV704" s="82"/>
      <c r="AW704" s="82"/>
      <c r="AX704" s="82"/>
      <c r="AY704" s="82"/>
      <c r="AZ704" s="82"/>
      <c r="BA704" s="82"/>
      <c r="BB704" s="82"/>
      <c r="BC704" s="82"/>
      <c r="BD704" s="82"/>
      <c r="BE704" s="82"/>
    </row>
    <row r="705" ht="15.75" customHeight="1" spans="1:57" x14ac:dyDescent="0.25">
      <c r="A705" s="79"/>
      <c r="AN705" s="80"/>
      <c r="AO705" s="81"/>
      <c r="AT705" s="82"/>
      <c r="AU705" s="82"/>
      <c r="AV705" s="82"/>
      <c r="AW705" s="82"/>
      <c r="AX705" s="82"/>
      <c r="AY705" s="82"/>
      <c r="AZ705" s="82"/>
      <c r="BA705" s="82"/>
      <c r="BB705" s="82"/>
      <c r="BC705" s="82"/>
      <c r="BD705" s="82"/>
      <c r="BE705" s="82"/>
    </row>
    <row r="706" ht="15.75" customHeight="1" spans="1:57" x14ac:dyDescent="0.25">
      <c r="A706" s="79"/>
      <c r="AN706" s="80"/>
      <c r="AO706" s="81"/>
      <c r="AT706" s="82"/>
      <c r="AU706" s="82"/>
      <c r="AV706" s="82"/>
      <c r="AW706" s="82"/>
      <c r="AX706" s="82"/>
      <c r="AY706" s="82"/>
      <c r="AZ706" s="82"/>
      <c r="BA706" s="82"/>
      <c r="BB706" s="82"/>
      <c r="BC706" s="82"/>
      <c r="BD706" s="82"/>
      <c r="BE706" s="82"/>
    </row>
    <row r="707" ht="15.75" customHeight="1" spans="1:57" x14ac:dyDescent="0.25">
      <c r="A707" s="79"/>
      <c r="AN707" s="80"/>
      <c r="AO707" s="81"/>
      <c r="AT707" s="82"/>
      <c r="AU707" s="82"/>
      <c r="AV707" s="82"/>
      <c r="AW707" s="82"/>
      <c r="AX707" s="82"/>
      <c r="AY707" s="82"/>
      <c r="AZ707" s="82"/>
      <c r="BA707" s="82"/>
      <c r="BB707" s="82"/>
      <c r="BC707" s="82"/>
      <c r="BD707" s="82"/>
      <c r="BE707" s="82"/>
    </row>
    <row r="708" ht="15.75" customHeight="1" spans="1:57" x14ac:dyDescent="0.25">
      <c r="A708" s="79"/>
      <c r="AN708" s="80"/>
      <c r="AO708" s="81"/>
      <c r="AT708" s="82"/>
      <c r="AU708" s="82"/>
      <c r="AV708" s="82"/>
      <c r="AW708" s="82"/>
      <c r="AX708" s="82"/>
      <c r="AY708" s="82"/>
      <c r="AZ708" s="82"/>
      <c r="BA708" s="82"/>
      <c r="BB708" s="82"/>
      <c r="BC708" s="82"/>
      <c r="BD708" s="82"/>
      <c r="BE708" s="82"/>
    </row>
    <row r="709" ht="15.75" customHeight="1" spans="1:57" x14ac:dyDescent="0.25">
      <c r="A709" s="79"/>
      <c r="AN709" s="80"/>
      <c r="AO709" s="81"/>
      <c r="AT709" s="82"/>
      <c r="AU709" s="82"/>
      <c r="AV709" s="82"/>
      <c r="AW709" s="82"/>
      <c r="AX709" s="82"/>
      <c r="AY709" s="82"/>
      <c r="AZ709" s="82"/>
      <c r="BA709" s="82"/>
      <c r="BB709" s="82"/>
      <c r="BC709" s="82"/>
      <c r="BD709" s="82"/>
      <c r="BE709" s="82"/>
    </row>
    <row r="710" ht="15.75" customHeight="1" spans="1:57" x14ac:dyDescent="0.25">
      <c r="A710" s="79"/>
      <c r="AN710" s="80"/>
      <c r="AO710" s="81"/>
      <c r="AT710" s="82"/>
      <c r="AU710" s="82"/>
      <c r="AV710" s="82"/>
      <c r="AW710" s="82"/>
      <c r="AX710" s="82"/>
      <c r="AY710" s="82"/>
      <c r="AZ710" s="82"/>
      <c r="BA710" s="82"/>
      <c r="BB710" s="82"/>
      <c r="BC710" s="82"/>
      <c r="BD710" s="82"/>
      <c r="BE710" s="82"/>
    </row>
    <row r="711" ht="15.75" customHeight="1" spans="1:57" x14ac:dyDescent="0.25">
      <c r="A711" s="79"/>
      <c r="AN711" s="80"/>
      <c r="AO711" s="81"/>
      <c r="AT711" s="82"/>
      <c r="AU711" s="82"/>
      <c r="AV711" s="82"/>
      <c r="AW711" s="82"/>
      <c r="AX711" s="82"/>
      <c r="AY711" s="82"/>
      <c r="AZ711" s="82"/>
      <c r="BA711" s="82"/>
      <c r="BB711" s="82"/>
      <c r="BC711" s="82"/>
      <c r="BD711" s="82"/>
      <c r="BE711" s="82"/>
    </row>
    <row r="712" ht="15.75" customHeight="1" spans="1:57" x14ac:dyDescent="0.25">
      <c r="A712" s="79"/>
      <c r="AN712" s="80"/>
      <c r="AO712" s="81"/>
      <c r="AT712" s="82"/>
      <c r="AU712" s="82"/>
      <c r="AV712" s="82"/>
      <c r="AW712" s="82"/>
      <c r="AX712" s="82"/>
      <c r="AY712" s="82"/>
      <c r="AZ712" s="82"/>
      <c r="BA712" s="82"/>
      <c r="BB712" s="82"/>
      <c r="BC712" s="82"/>
      <c r="BD712" s="82"/>
      <c r="BE712" s="82"/>
    </row>
    <row r="713" ht="15.75" customHeight="1" spans="1:57" x14ac:dyDescent="0.25">
      <c r="A713" s="79"/>
      <c r="AN713" s="80"/>
      <c r="AO713" s="81"/>
      <c r="AT713" s="82"/>
      <c r="AU713" s="82"/>
      <c r="AV713" s="82"/>
      <c r="AW713" s="82"/>
      <c r="AX713" s="82"/>
      <c r="AY713" s="82"/>
      <c r="AZ713" s="82"/>
      <c r="BA713" s="82"/>
      <c r="BB713" s="82"/>
      <c r="BC713" s="82"/>
      <c r="BD713" s="82"/>
      <c r="BE713" s="82"/>
    </row>
    <row r="714" ht="15.75" customHeight="1" spans="1:57" x14ac:dyDescent="0.25">
      <c r="A714" s="79"/>
      <c r="AN714" s="80"/>
      <c r="AO714" s="81"/>
      <c r="AT714" s="82"/>
      <c r="AU714" s="82"/>
      <c r="AV714" s="82"/>
      <c r="AW714" s="82"/>
      <c r="AX714" s="82"/>
      <c r="AY714" s="82"/>
      <c r="AZ714" s="82"/>
      <c r="BA714" s="82"/>
      <c r="BB714" s="82"/>
      <c r="BC714" s="82"/>
      <c r="BD714" s="82"/>
      <c r="BE714" s="82"/>
    </row>
    <row r="715" ht="15.75" customHeight="1" spans="1:57" x14ac:dyDescent="0.25">
      <c r="A715" s="79"/>
      <c r="AN715" s="80"/>
      <c r="AO715" s="81"/>
      <c r="AT715" s="82"/>
      <c r="AU715" s="82"/>
      <c r="AV715" s="82"/>
      <c r="AW715" s="82"/>
      <c r="AX715" s="82"/>
      <c r="AY715" s="82"/>
      <c r="AZ715" s="82"/>
      <c r="BA715" s="82"/>
      <c r="BB715" s="82"/>
      <c r="BC715" s="82"/>
      <c r="BD715" s="82"/>
      <c r="BE715" s="82"/>
    </row>
    <row r="716" ht="15.75" customHeight="1" spans="1:57" x14ac:dyDescent="0.25">
      <c r="A716" s="79"/>
      <c r="AN716" s="80"/>
      <c r="AO716" s="81"/>
      <c r="AT716" s="82"/>
      <c r="AU716" s="82"/>
      <c r="AV716" s="82"/>
      <c r="AW716" s="82"/>
      <c r="AX716" s="82"/>
      <c r="AY716" s="82"/>
      <c r="AZ716" s="82"/>
      <c r="BA716" s="82"/>
      <c r="BB716" s="82"/>
      <c r="BC716" s="82"/>
      <c r="BD716" s="82"/>
      <c r="BE716" s="82"/>
    </row>
    <row r="717" ht="15.75" customHeight="1" spans="1:57" x14ac:dyDescent="0.25">
      <c r="A717" s="79"/>
      <c r="AN717" s="80"/>
      <c r="AO717" s="81"/>
      <c r="AT717" s="82"/>
      <c r="AU717" s="82"/>
      <c r="AV717" s="82"/>
      <c r="AW717" s="82"/>
      <c r="AX717" s="82"/>
      <c r="AY717" s="82"/>
      <c r="AZ717" s="82"/>
      <c r="BA717" s="82"/>
      <c r="BB717" s="82"/>
      <c r="BC717" s="82"/>
      <c r="BD717" s="82"/>
      <c r="BE717" s="82"/>
    </row>
    <row r="718" ht="15.75" customHeight="1" spans="1:57" x14ac:dyDescent="0.25">
      <c r="A718" s="79"/>
      <c r="AN718" s="80"/>
      <c r="AO718" s="81"/>
      <c r="AT718" s="82"/>
      <c r="AU718" s="82"/>
      <c r="AV718" s="82"/>
      <c r="AW718" s="82"/>
      <c r="AX718" s="82"/>
      <c r="AY718" s="82"/>
      <c r="AZ718" s="82"/>
      <c r="BA718" s="82"/>
      <c r="BB718" s="82"/>
      <c r="BC718" s="82"/>
      <c r="BD718" s="82"/>
      <c r="BE718" s="82"/>
    </row>
    <row r="719" ht="15.75" customHeight="1" spans="1:57" x14ac:dyDescent="0.25">
      <c r="A719" s="79"/>
      <c r="AN719" s="80"/>
      <c r="AO719" s="81"/>
      <c r="AT719" s="82"/>
      <c r="AU719" s="82"/>
      <c r="AV719" s="82"/>
      <c r="AW719" s="82"/>
      <c r="AX719" s="82"/>
      <c r="AY719" s="82"/>
      <c r="AZ719" s="82"/>
      <c r="BA719" s="82"/>
      <c r="BB719" s="82"/>
      <c r="BC719" s="82"/>
      <c r="BD719" s="82"/>
      <c r="BE719" s="82"/>
    </row>
    <row r="720" ht="15.75" customHeight="1" spans="1:57" x14ac:dyDescent="0.25">
      <c r="A720" s="79"/>
      <c r="AN720" s="80"/>
      <c r="AO720" s="81"/>
      <c r="AT720" s="82"/>
      <c r="AU720" s="82"/>
      <c r="AV720" s="82"/>
      <c r="AW720" s="82"/>
      <c r="AX720" s="82"/>
      <c r="AY720" s="82"/>
      <c r="AZ720" s="82"/>
      <c r="BA720" s="82"/>
      <c r="BB720" s="82"/>
      <c r="BC720" s="82"/>
      <c r="BD720" s="82"/>
      <c r="BE720" s="82"/>
    </row>
    <row r="721" ht="15.75" customHeight="1" spans="1:57" x14ac:dyDescent="0.25">
      <c r="A721" s="79"/>
      <c r="AN721" s="80"/>
      <c r="AO721" s="81"/>
      <c r="AT721" s="82"/>
      <c r="AU721" s="82"/>
      <c r="AV721" s="82"/>
      <c r="AW721" s="82"/>
      <c r="AX721" s="82"/>
      <c r="AY721" s="82"/>
      <c r="AZ721" s="82"/>
      <c r="BA721" s="82"/>
      <c r="BB721" s="82"/>
      <c r="BC721" s="82"/>
      <c r="BD721" s="82"/>
      <c r="BE721" s="82"/>
    </row>
    <row r="722" ht="15.75" customHeight="1" spans="1:57" x14ac:dyDescent="0.25">
      <c r="A722" s="79"/>
      <c r="AN722" s="80"/>
      <c r="AO722" s="81"/>
      <c r="AT722" s="82"/>
      <c r="AU722" s="82"/>
      <c r="AV722" s="82"/>
      <c r="AW722" s="82"/>
      <c r="AX722" s="82"/>
      <c r="AY722" s="82"/>
      <c r="AZ722" s="82"/>
      <c r="BA722" s="82"/>
      <c r="BB722" s="82"/>
      <c r="BC722" s="82"/>
      <c r="BD722" s="82"/>
      <c r="BE722" s="82"/>
    </row>
    <row r="723" ht="15.75" customHeight="1" spans="1:57" x14ac:dyDescent="0.25">
      <c r="A723" s="79"/>
      <c r="AN723" s="80"/>
      <c r="AO723" s="81"/>
      <c r="AT723" s="82"/>
      <c r="AU723" s="82"/>
      <c r="AV723" s="82"/>
      <c r="AW723" s="82"/>
      <c r="AX723" s="82"/>
      <c r="AY723" s="82"/>
      <c r="AZ723" s="82"/>
      <c r="BA723" s="82"/>
      <c r="BB723" s="82"/>
      <c r="BC723" s="82"/>
      <c r="BD723" s="82"/>
      <c r="BE723" s="82"/>
    </row>
    <row r="724" ht="15.75" customHeight="1" spans="1:57" x14ac:dyDescent="0.25">
      <c r="A724" s="79"/>
      <c r="AN724" s="80"/>
      <c r="AO724" s="81"/>
      <c r="AT724" s="82"/>
      <c r="AU724" s="82"/>
      <c r="AV724" s="82"/>
      <c r="AW724" s="82"/>
      <c r="AX724" s="82"/>
      <c r="AY724" s="82"/>
      <c r="AZ724" s="82"/>
      <c r="BA724" s="82"/>
      <c r="BB724" s="82"/>
      <c r="BC724" s="82"/>
      <c r="BD724" s="82"/>
      <c r="BE724" s="82"/>
    </row>
    <row r="725" ht="15.75" customHeight="1" spans="1:57" x14ac:dyDescent="0.25">
      <c r="A725" s="79"/>
      <c r="AN725" s="80"/>
      <c r="AO725" s="81"/>
      <c r="AT725" s="82"/>
      <c r="AU725" s="82"/>
      <c r="AV725" s="82"/>
      <c r="AW725" s="82"/>
      <c r="AX725" s="82"/>
      <c r="AY725" s="82"/>
      <c r="AZ725" s="82"/>
      <c r="BA725" s="82"/>
      <c r="BB725" s="82"/>
      <c r="BC725" s="82"/>
      <c r="BD725" s="82"/>
      <c r="BE725" s="82"/>
    </row>
    <row r="726" ht="15.75" customHeight="1" spans="1:57" x14ac:dyDescent="0.25">
      <c r="A726" s="79"/>
      <c r="AN726" s="80"/>
      <c r="AO726" s="81"/>
      <c r="AT726" s="82"/>
      <c r="AU726" s="82"/>
      <c r="AV726" s="82"/>
      <c r="AW726" s="82"/>
      <c r="AX726" s="82"/>
      <c r="AY726" s="82"/>
      <c r="AZ726" s="82"/>
      <c r="BA726" s="82"/>
      <c r="BB726" s="82"/>
      <c r="BC726" s="82"/>
      <c r="BD726" s="82"/>
      <c r="BE726" s="82"/>
    </row>
    <row r="727" ht="15.75" customHeight="1" spans="1:57" x14ac:dyDescent="0.25">
      <c r="A727" s="79"/>
      <c r="AN727" s="80"/>
      <c r="AO727" s="81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</row>
    <row r="728" ht="15.75" customHeight="1" spans="1:57" x14ac:dyDescent="0.25">
      <c r="A728" s="79"/>
      <c r="AN728" s="80"/>
      <c r="AO728" s="81"/>
      <c r="AT728" s="82"/>
      <c r="AU728" s="82"/>
      <c r="AV728" s="82"/>
      <c r="AW728" s="82"/>
      <c r="AX728" s="82"/>
      <c r="AY728" s="82"/>
      <c r="AZ728" s="82"/>
      <c r="BA728" s="82"/>
      <c r="BB728" s="82"/>
      <c r="BC728" s="82"/>
      <c r="BD728" s="82"/>
      <c r="BE728" s="82"/>
    </row>
    <row r="729" ht="15.75" customHeight="1" spans="1:57" x14ac:dyDescent="0.25">
      <c r="A729" s="79"/>
      <c r="AN729" s="80"/>
      <c r="AO729" s="81"/>
      <c r="AT729" s="82"/>
      <c r="AU729" s="82"/>
      <c r="AV729" s="82"/>
      <c r="AW729" s="82"/>
      <c r="AX729" s="82"/>
      <c r="AY729" s="82"/>
      <c r="AZ729" s="82"/>
      <c r="BA729" s="82"/>
      <c r="BB729" s="82"/>
      <c r="BC729" s="82"/>
      <c r="BD729" s="82"/>
      <c r="BE729" s="82"/>
    </row>
    <row r="730" ht="15.75" customHeight="1" spans="1:57" x14ac:dyDescent="0.25">
      <c r="A730" s="79"/>
      <c r="AN730" s="80"/>
      <c r="AO730" s="81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</row>
    <row r="731" ht="15.75" customHeight="1" spans="1:57" x14ac:dyDescent="0.25">
      <c r="A731" s="79"/>
      <c r="AN731" s="80"/>
      <c r="AO731" s="81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</row>
    <row r="732" ht="15.75" customHeight="1" spans="1:57" x14ac:dyDescent="0.25">
      <c r="A732" s="79"/>
      <c r="AN732" s="80"/>
      <c r="AO732" s="81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</row>
    <row r="733" ht="15.75" customHeight="1" spans="1:57" x14ac:dyDescent="0.25">
      <c r="A733" s="79"/>
      <c r="AN733" s="80"/>
      <c r="AO733" s="81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</row>
    <row r="734" ht="15.75" customHeight="1" spans="1:57" x14ac:dyDescent="0.25">
      <c r="A734" s="79"/>
      <c r="AN734" s="80"/>
      <c r="AO734" s="81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</row>
    <row r="735" ht="15.75" customHeight="1" spans="1:57" x14ac:dyDescent="0.25">
      <c r="A735" s="79"/>
      <c r="AN735" s="80"/>
      <c r="AO735" s="81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</row>
    <row r="736" ht="15.75" customHeight="1" spans="1:57" x14ac:dyDescent="0.25">
      <c r="A736" s="79"/>
      <c r="AN736" s="80"/>
      <c r="AO736" s="81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</row>
    <row r="737" ht="15.75" customHeight="1" spans="1:57" x14ac:dyDescent="0.25">
      <c r="A737" s="79"/>
      <c r="AN737" s="80"/>
      <c r="AO737" s="81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</row>
    <row r="738" ht="15.75" customHeight="1" spans="1:57" x14ac:dyDescent="0.25">
      <c r="A738" s="79"/>
      <c r="AN738" s="80"/>
      <c r="AO738" s="81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</row>
    <row r="739" ht="15.75" customHeight="1" spans="1:57" x14ac:dyDescent="0.25">
      <c r="A739" s="79"/>
      <c r="AN739" s="80"/>
      <c r="AO739" s="81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</row>
    <row r="740" ht="15.75" customHeight="1" spans="1:57" x14ac:dyDescent="0.25">
      <c r="A740" s="79"/>
      <c r="AN740" s="80"/>
      <c r="AO740" s="81"/>
      <c r="AT740" s="82"/>
      <c r="AU740" s="82"/>
      <c r="AV740" s="82"/>
      <c r="AW740" s="82"/>
      <c r="AX740" s="82"/>
      <c r="AY740" s="82"/>
      <c r="AZ740" s="82"/>
      <c r="BA740" s="82"/>
      <c r="BB740" s="82"/>
      <c r="BC740" s="82"/>
      <c r="BD740" s="82"/>
      <c r="BE740" s="82"/>
    </row>
    <row r="741" ht="15.75" customHeight="1" spans="1:57" x14ac:dyDescent="0.25">
      <c r="A741" s="79"/>
      <c r="AN741" s="80"/>
      <c r="AO741" s="81"/>
      <c r="AT741" s="82"/>
      <c r="AU741" s="82"/>
      <c r="AV741" s="82"/>
      <c r="AW741" s="82"/>
      <c r="AX741" s="82"/>
      <c r="AY741" s="82"/>
      <c r="AZ741" s="82"/>
      <c r="BA741" s="82"/>
      <c r="BB741" s="82"/>
      <c r="BC741" s="82"/>
      <c r="BD741" s="82"/>
      <c r="BE741" s="82"/>
    </row>
    <row r="742" ht="15.75" customHeight="1" spans="1:57" x14ac:dyDescent="0.25">
      <c r="A742" s="79"/>
      <c r="AN742" s="80"/>
      <c r="AO742" s="81"/>
      <c r="AT742" s="82"/>
      <c r="AU742" s="82"/>
      <c r="AV742" s="82"/>
      <c r="AW742" s="82"/>
      <c r="AX742" s="82"/>
      <c r="AY742" s="82"/>
      <c r="AZ742" s="82"/>
      <c r="BA742" s="82"/>
      <c r="BB742" s="82"/>
      <c r="BC742" s="82"/>
      <c r="BD742" s="82"/>
      <c r="BE742" s="82"/>
    </row>
    <row r="743" ht="15.75" customHeight="1" spans="1:57" x14ac:dyDescent="0.25">
      <c r="A743" s="79"/>
      <c r="AN743" s="80"/>
      <c r="AO743" s="81"/>
      <c r="AT743" s="82"/>
      <c r="AU743" s="82"/>
      <c r="AV743" s="82"/>
      <c r="AW743" s="82"/>
      <c r="AX743" s="82"/>
      <c r="AY743" s="82"/>
      <c r="AZ743" s="82"/>
      <c r="BA743" s="82"/>
      <c r="BB743" s="82"/>
      <c r="BC743" s="82"/>
      <c r="BD743" s="82"/>
      <c r="BE743" s="82"/>
    </row>
    <row r="744" ht="15.75" customHeight="1" spans="1:57" x14ac:dyDescent="0.25">
      <c r="A744" s="79"/>
      <c r="AN744" s="80"/>
      <c r="AO744" s="81"/>
      <c r="AT744" s="82"/>
      <c r="AU744" s="82"/>
      <c r="AV744" s="82"/>
      <c r="AW744" s="82"/>
      <c r="AX744" s="82"/>
      <c r="AY744" s="82"/>
      <c r="AZ744" s="82"/>
      <c r="BA744" s="82"/>
      <c r="BB744" s="82"/>
      <c r="BC744" s="82"/>
      <c r="BD744" s="82"/>
      <c r="BE744" s="82"/>
    </row>
    <row r="745" ht="15.75" customHeight="1" spans="1:57" x14ac:dyDescent="0.25">
      <c r="A745" s="79"/>
      <c r="AN745" s="80"/>
      <c r="AO745" s="81"/>
      <c r="AT745" s="82"/>
      <c r="AU745" s="82"/>
      <c r="AV745" s="82"/>
      <c r="AW745" s="82"/>
      <c r="AX745" s="82"/>
      <c r="AY745" s="82"/>
      <c r="AZ745" s="82"/>
      <c r="BA745" s="82"/>
      <c r="BB745" s="82"/>
      <c r="BC745" s="82"/>
      <c r="BD745" s="82"/>
      <c r="BE745" s="82"/>
    </row>
    <row r="746" ht="15.75" customHeight="1" spans="1:57" x14ac:dyDescent="0.25">
      <c r="A746" s="79"/>
      <c r="AN746" s="80"/>
      <c r="AO746" s="81"/>
      <c r="AT746" s="82"/>
      <c r="AU746" s="82"/>
      <c r="AV746" s="82"/>
      <c r="AW746" s="82"/>
      <c r="AX746" s="82"/>
      <c r="AY746" s="82"/>
      <c r="AZ746" s="82"/>
      <c r="BA746" s="82"/>
      <c r="BB746" s="82"/>
      <c r="BC746" s="82"/>
      <c r="BD746" s="82"/>
      <c r="BE746" s="82"/>
    </row>
    <row r="747" ht="15.75" customHeight="1" spans="1:57" x14ac:dyDescent="0.25">
      <c r="A747" s="79"/>
      <c r="AN747" s="80"/>
      <c r="AO747" s="81"/>
      <c r="AT747" s="82"/>
      <c r="AU747" s="82"/>
      <c r="AV747" s="82"/>
      <c r="AW747" s="82"/>
      <c r="AX747" s="82"/>
      <c r="AY747" s="82"/>
      <c r="AZ747" s="82"/>
      <c r="BA747" s="82"/>
      <c r="BB747" s="82"/>
      <c r="BC747" s="82"/>
      <c r="BD747" s="82"/>
      <c r="BE747" s="82"/>
    </row>
    <row r="748" ht="15.75" customHeight="1" spans="1:57" x14ac:dyDescent="0.25">
      <c r="A748" s="79"/>
      <c r="AN748" s="80"/>
      <c r="AO748" s="81"/>
      <c r="AT748" s="82"/>
      <c r="AU748" s="82"/>
      <c r="AV748" s="82"/>
      <c r="AW748" s="82"/>
      <c r="AX748" s="82"/>
      <c r="AY748" s="82"/>
      <c r="AZ748" s="82"/>
      <c r="BA748" s="82"/>
      <c r="BB748" s="82"/>
      <c r="BC748" s="82"/>
      <c r="BD748" s="82"/>
      <c r="BE748" s="82"/>
    </row>
    <row r="749" ht="15.75" customHeight="1" spans="1:57" x14ac:dyDescent="0.25">
      <c r="A749" s="79"/>
      <c r="AN749" s="80"/>
      <c r="AO749" s="81"/>
      <c r="AT749" s="82"/>
      <c r="AU749" s="82"/>
      <c r="AV749" s="82"/>
      <c r="AW749" s="82"/>
      <c r="AX749" s="82"/>
      <c r="AY749" s="82"/>
      <c r="AZ749" s="82"/>
      <c r="BA749" s="82"/>
      <c r="BB749" s="82"/>
      <c r="BC749" s="82"/>
      <c r="BD749" s="82"/>
      <c r="BE749" s="82"/>
    </row>
    <row r="750" ht="15.75" customHeight="1" spans="1:57" x14ac:dyDescent="0.25">
      <c r="A750" s="79"/>
      <c r="AN750" s="80"/>
      <c r="AO750" s="81"/>
      <c r="AT750" s="82"/>
      <c r="AU750" s="82"/>
      <c r="AV750" s="82"/>
      <c r="AW750" s="82"/>
      <c r="AX750" s="82"/>
      <c r="AY750" s="82"/>
      <c r="AZ750" s="82"/>
      <c r="BA750" s="82"/>
      <c r="BB750" s="82"/>
      <c r="BC750" s="82"/>
      <c r="BD750" s="82"/>
      <c r="BE750" s="82"/>
    </row>
    <row r="751" ht="15.75" customHeight="1" spans="1:57" x14ac:dyDescent="0.25">
      <c r="A751" s="79"/>
      <c r="AN751" s="80"/>
      <c r="AO751" s="81"/>
      <c r="AT751" s="82"/>
      <c r="AU751" s="82"/>
      <c r="AV751" s="82"/>
      <c r="AW751" s="82"/>
      <c r="AX751" s="82"/>
      <c r="AY751" s="82"/>
      <c r="AZ751" s="82"/>
      <c r="BA751" s="82"/>
      <c r="BB751" s="82"/>
      <c r="BC751" s="82"/>
      <c r="BD751" s="82"/>
      <c r="BE751" s="82"/>
    </row>
    <row r="752" ht="15.75" customHeight="1" spans="1:57" x14ac:dyDescent="0.25">
      <c r="A752" s="79"/>
      <c r="AN752" s="80"/>
      <c r="AO752" s="81"/>
      <c r="AT752" s="82"/>
      <c r="AU752" s="82"/>
      <c r="AV752" s="82"/>
      <c r="AW752" s="82"/>
      <c r="AX752" s="82"/>
      <c r="AY752" s="82"/>
      <c r="AZ752" s="82"/>
      <c r="BA752" s="82"/>
      <c r="BB752" s="82"/>
      <c r="BC752" s="82"/>
      <c r="BD752" s="82"/>
      <c r="BE752" s="82"/>
    </row>
    <row r="753" ht="15.75" customHeight="1" spans="1:57" x14ac:dyDescent="0.25">
      <c r="A753" s="79"/>
      <c r="AN753" s="80"/>
      <c r="AO753" s="81"/>
      <c r="AT753" s="82"/>
      <c r="AU753" s="82"/>
      <c r="AV753" s="82"/>
      <c r="AW753" s="82"/>
      <c r="AX753" s="82"/>
      <c r="AY753" s="82"/>
      <c r="AZ753" s="82"/>
      <c r="BA753" s="82"/>
      <c r="BB753" s="82"/>
      <c r="BC753" s="82"/>
      <c r="BD753" s="82"/>
      <c r="BE753" s="82"/>
    </row>
    <row r="754" ht="15.75" customHeight="1" spans="1:57" x14ac:dyDescent="0.25">
      <c r="A754" s="79"/>
      <c r="AN754" s="80"/>
      <c r="AO754" s="81"/>
      <c r="AT754" s="82"/>
      <c r="AU754" s="82"/>
      <c r="AV754" s="82"/>
      <c r="AW754" s="82"/>
      <c r="AX754" s="82"/>
      <c r="AY754" s="82"/>
      <c r="AZ754" s="82"/>
      <c r="BA754" s="82"/>
      <c r="BB754" s="82"/>
      <c r="BC754" s="82"/>
      <c r="BD754" s="82"/>
      <c r="BE754" s="82"/>
    </row>
    <row r="755" ht="15.75" customHeight="1" spans="1:57" x14ac:dyDescent="0.25">
      <c r="A755" s="79"/>
      <c r="AN755" s="80"/>
      <c r="AO755" s="81"/>
      <c r="AT755" s="82"/>
      <c r="AU755" s="82"/>
      <c r="AV755" s="82"/>
      <c r="AW755" s="82"/>
      <c r="AX755" s="82"/>
      <c r="AY755" s="82"/>
      <c r="AZ755" s="82"/>
      <c r="BA755" s="82"/>
      <c r="BB755" s="82"/>
      <c r="BC755" s="82"/>
      <c r="BD755" s="82"/>
      <c r="BE755" s="82"/>
    </row>
    <row r="756" ht="15.75" customHeight="1" spans="1:57" x14ac:dyDescent="0.25">
      <c r="A756" s="79"/>
      <c r="AN756" s="80"/>
      <c r="AO756" s="81"/>
      <c r="AT756" s="82"/>
      <c r="AU756" s="82"/>
      <c r="AV756" s="82"/>
      <c r="AW756" s="82"/>
      <c r="AX756" s="82"/>
      <c r="AY756" s="82"/>
      <c r="AZ756" s="82"/>
      <c r="BA756" s="82"/>
      <c r="BB756" s="82"/>
      <c r="BC756" s="82"/>
      <c r="BD756" s="82"/>
      <c r="BE756" s="82"/>
    </row>
    <row r="757" ht="15.75" customHeight="1" spans="1:57" x14ac:dyDescent="0.25">
      <c r="A757" s="79"/>
      <c r="AN757" s="80"/>
      <c r="AO757" s="81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</row>
    <row r="758" ht="15.75" customHeight="1" spans="1:57" x14ac:dyDescent="0.25">
      <c r="A758" s="79"/>
      <c r="AN758" s="80"/>
      <c r="AO758" s="81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</row>
    <row r="759" ht="15.75" customHeight="1" spans="1:57" x14ac:dyDescent="0.25">
      <c r="A759" s="79"/>
      <c r="AN759" s="80"/>
      <c r="AO759" s="81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</row>
    <row r="760" ht="15.75" customHeight="1" spans="1:57" x14ac:dyDescent="0.25">
      <c r="A760" s="79"/>
      <c r="AN760" s="80"/>
      <c r="AO760" s="81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</row>
    <row r="761" ht="15.75" customHeight="1" spans="1:57" x14ac:dyDescent="0.25">
      <c r="A761" s="79"/>
      <c r="AN761" s="80"/>
      <c r="AO761" s="81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</row>
    <row r="762" ht="15.75" customHeight="1" spans="1:57" x14ac:dyDescent="0.25">
      <c r="A762" s="79"/>
      <c r="AN762" s="80"/>
      <c r="AO762" s="81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</row>
    <row r="763" ht="15.75" customHeight="1" spans="1:57" x14ac:dyDescent="0.25">
      <c r="A763" s="79"/>
      <c r="AN763" s="80"/>
      <c r="AO763" s="81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</row>
    <row r="764" ht="15.75" customHeight="1" spans="1:57" x14ac:dyDescent="0.25">
      <c r="A764" s="79"/>
      <c r="AN764" s="80"/>
      <c r="AO764" s="81"/>
      <c r="AT764" s="82"/>
      <c r="AU764" s="82"/>
      <c r="AV764" s="82"/>
      <c r="AW764" s="82"/>
      <c r="AX764" s="82"/>
      <c r="AY764" s="82"/>
      <c r="AZ764" s="82"/>
      <c r="BA764" s="82"/>
      <c r="BB764" s="82"/>
      <c r="BC764" s="82"/>
      <c r="BD764" s="82"/>
      <c r="BE764" s="82"/>
    </row>
    <row r="765" ht="15.75" customHeight="1" spans="1:57" x14ac:dyDescent="0.25">
      <c r="A765" s="79"/>
      <c r="AN765" s="80"/>
      <c r="AO765" s="81"/>
      <c r="AT765" s="82"/>
      <c r="AU765" s="82"/>
      <c r="AV765" s="82"/>
      <c r="AW765" s="82"/>
      <c r="AX765" s="82"/>
      <c r="AY765" s="82"/>
      <c r="AZ765" s="82"/>
      <c r="BA765" s="82"/>
      <c r="BB765" s="82"/>
      <c r="BC765" s="82"/>
      <c r="BD765" s="82"/>
      <c r="BE765" s="82"/>
    </row>
    <row r="766" ht="15.75" customHeight="1" spans="1:57" x14ac:dyDescent="0.25">
      <c r="A766" s="79"/>
      <c r="AN766" s="80"/>
      <c r="AO766" s="81"/>
      <c r="AT766" s="82"/>
      <c r="AU766" s="82"/>
      <c r="AV766" s="82"/>
      <c r="AW766" s="82"/>
      <c r="AX766" s="82"/>
      <c r="AY766" s="82"/>
      <c r="AZ766" s="82"/>
      <c r="BA766" s="82"/>
      <c r="BB766" s="82"/>
      <c r="BC766" s="82"/>
      <c r="BD766" s="82"/>
      <c r="BE766" s="82"/>
    </row>
    <row r="767" ht="15.75" customHeight="1" spans="1:57" x14ac:dyDescent="0.25">
      <c r="A767" s="79"/>
      <c r="AN767" s="80"/>
      <c r="AO767" s="81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</row>
    <row r="768" ht="15.75" customHeight="1" spans="1:57" x14ac:dyDescent="0.25">
      <c r="A768" s="79"/>
      <c r="AN768" s="80"/>
      <c r="AO768" s="81"/>
      <c r="AT768" s="82"/>
      <c r="AU768" s="82"/>
      <c r="AV768" s="82"/>
      <c r="AW768" s="82"/>
      <c r="AX768" s="82"/>
      <c r="AY768" s="82"/>
      <c r="AZ768" s="82"/>
      <c r="BA768" s="82"/>
      <c r="BB768" s="82"/>
      <c r="BC768" s="82"/>
      <c r="BD768" s="82"/>
      <c r="BE768" s="82"/>
    </row>
    <row r="769" ht="15.75" customHeight="1" spans="1:57" x14ac:dyDescent="0.25">
      <c r="A769" s="79"/>
      <c r="AN769" s="80"/>
      <c r="AO769" s="81"/>
      <c r="AT769" s="82"/>
      <c r="AU769" s="82"/>
      <c r="AV769" s="82"/>
      <c r="AW769" s="82"/>
      <c r="AX769" s="82"/>
      <c r="AY769" s="82"/>
      <c r="AZ769" s="82"/>
      <c r="BA769" s="82"/>
      <c r="BB769" s="82"/>
      <c r="BC769" s="82"/>
      <c r="BD769" s="82"/>
      <c r="BE769" s="82"/>
    </row>
    <row r="770" ht="15.75" customHeight="1" spans="1:57" x14ac:dyDescent="0.25">
      <c r="A770" s="79"/>
      <c r="AN770" s="80"/>
      <c r="AO770" s="81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</row>
    <row r="771" ht="15.75" customHeight="1" spans="1:57" x14ac:dyDescent="0.25">
      <c r="A771" s="79"/>
      <c r="AN771" s="80"/>
      <c r="AO771" s="81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</row>
    <row r="772" ht="15.75" customHeight="1" spans="1:57" x14ac:dyDescent="0.25">
      <c r="A772" s="79"/>
      <c r="AN772" s="80"/>
      <c r="AO772" s="81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</row>
    <row r="773" ht="15.75" customHeight="1" spans="1:57" x14ac:dyDescent="0.25">
      <c r="A773" s="79"/>
      <c r="AN773" s="80"/>
      <c r="AO773" s="81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</row>
    <row r="774" ht="15.75" customHeight="1" spans="1:57" x14ac:dyDescent="0.25">
      <c r="A774" s="79"/>
      <c r="AN774" s="80"/>
      <c r="AO774" s="81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</row>
    <row r="775" ht="15.75" customHeight="1" spans="1:57" x14ac:dyDescent="0.25">
      <c r="A775" s="79"/>
      <c r="AN775" s="80"/>
      <c r="AO775" s="81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</row>
    <row r="776" ht="15.75" customHeight="1" spans="1:57" x14ac:dyDescent="0.25">
      <c r="A776" s="79"/>
      <c r="AN776" s="80"/>
      <c r="AO776" s="81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</row>
    <row r="777" ht="15.75" customHeight="1" spans="1:57" x14ac:dyDescent="0.25">
      <c r="A777" s="79"/>
      <c r="AN777" s="80"/>
      <c r="AO777" s="81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</row>
    <row r="778" ht="15.75" customHeight="1" spans="1:57" x14ac:dyDescent="0.25">
      <c r="A778" s="79"/>
      <c r="AN778" s="80"/>
      <c r="AO778" s="81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</row>
    <row r="779" ht="15.75" customHeight="1" spans="1:57" x14ac:dyDescent="0.25">
      <c r="A779" s="79"/>
      <c r="AN779" s="80"/>
      <c r="AO779" s="81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</row>
    <row r="780" ht="15.75" customHeight="1" spans="1:57" x14ac:dyDescent="0.25">
      <c r="A780" s="79"/>
      <c r="AN780" s="80"/>
      <c r="AO780" s="81"/>
      <c r="AT780" s="82"/>
      <c r="AU780" s="82"/>
      <c r="AV780" s="82"/>
      <c r="AW780" s="82"/>
      <c r="AX780" s="82"/>
      <c r="AY780" s="82"/>
      <c r="AZ780" s="82"/>
      <c r="BA780" s="82"/>
      <c r="BB780" s="82"/>
      <c r="BC780" s="82"/>
      <c r="BD780" s="82"/>
      <c r="BE780" s="82"/>
    </row>
    <row r="781" ht="15.75" customHeight="1" spans="1:57" x14ac:dyDescent="0.25">
      <c r="A781" s="79"/>
      <c r="AN781" s="80"/>
      <c r="AO781" s="81"/>
      <c r="AT781" s="82"/>
      <c r="AU781" s="82"/>
      <c r="AV781" s="82"/>
      <c r="AW781" s="82"/>
      <c r="AX781" s="82"/>
      <c r="AY781" s="82"/>
      <c r="AZ781" s="82"/>
      <c r="BA781" s="82"/>
      <c r="BB781" s="82"/>
      <c r="BC781" s="82"/>
      <c r="BD781" s="82"/>
      <c r="BE781" s="82"/>
    </row>
    <row r="782" ht="15.75" customHeight="1" spans="1:57" x14ac:dyDescent="0.25">
      <c r="A782" s="79"/>
      <c r="AN782" s="80"/>
      <c r="AO782" s="81"/>
      <c r="AT782" s="82"/>
      <c r="AU782" s="82"/>
      <c r="AV782" s="82"/>
      <c r="AW782" s="82"/>
      <c r="AX782" s="82"/>
      <c r="AY782" s="82"/>
      <c r="AZ782" s="82"/>
      <c r="BA782" s="82"/>
      <c r="BB782" s="82"/>
      <c r="BC782" s="82"/>
      <c r="BD782" s="82"/>
      <c r="BE782" s="82"/>
    </row>
    <row r="783" ht="15.75" customHeight="1" spans="1:57" x14ac:dyDescent="0.25">
      <c r="A783" s="79"/>
      <c r="AN783" s="80"/>
      <c r="AO783" s="81"/>
      <c r="AT783" s="82"/>
      <c r="AU783" s="82"/>
      <c r="AV783" s="82"/>
      <c r="AW783" s="82"/>
      <c r="AX783" s="82"/>
      <c r="AY783" s="82"/>
      <c r="AZ783" s="82"/>
      <c r="BA783" s="82"/>
      <c r="BB783" s="82"/>
      <c r="BC783" s="82"/>
      <c r="BD783" s="82"/>
      <c r="BE783" s="82"/>
    </row>
    <row r="784" ht="15.75" customHeight="1" spans="1:57" x14ac:dyDescent="0.25">
      <c r="A784" s="79"/>
      <c r="AN784" s="80"/>
      <c r="AO784" s="81"/>
      <c r="AT784" s="82"/>
      <c r="AU784" s="82"/>
      <c r="AV784" s="82"/>
      <c r="AW784" s="82"/>
      <c r="AX784" s="82"/>
      <c r="AY784" s="82"/>
      <c r="AZ784" s="82"/>
      <c r="BA784" s="82"/>
      <c r="BB784" s="82"/>
      <c r="BC784" s="82"/>
      <c r="BD784" s="82"/>
      <c r="BE784" s="82"/>
    </row>
    <row r="785" ht="15.75" customHeight="1" spans="1:57" x14ac:dyDescent="0.25">
      <c r="A785" s="79"/>
      <c r="AN785" s="80"/>
      <c r="AO785" s="81"/>
      <c r="AT785" s="82"/>
      <c r="AU785" s="82"/>
      <c r="AV785" s="82"/>
      <c r="AW785" s="82"/>
      <c r="AX785" s="82"/>
      <c r="AY785" s="82"/>
      <c r="AZ785" s="82"/>
      <c r="BA785" s="82"/>
      <c r="BB785" s="82"/>
      <c r="BC785" s="82"/>
      <c r="BD785" s="82"/>
      <c r="BE785" s="82"/>
    </row>
    <row r="786" ht="15.75" customHeight="1" spans="1:57" x14ac:dyDescent="0.25">
      <c r="A786" s="79"/>
      <c r="AN786" s="80"/>
      <c r="AO786" s="81"/>
      <c r="AT786" s="82"/>
      <c r="AU786" s="82"/>
      <c r="AV786" s="82"/>
      <c r="AW786" s="82"/>
      <c r="AX786" s="82"/>
      <c r="AY786" s="82"/>
      <c r="AZ786" s="82"/>
      <c r="BA786" s="82"/>
      <c r="BB786" s="82"/>
      <c r="BC786" s="82"/>
      <c r="BD786" s="82"/>
      <c r="BE786" s="82"/>
    </row>
    <row r="787" ht="15.75" customHeight="1" spans="1:57" x14ac:dyDescent="0.25">
      <c r="A787" s="79"/>
      <c r="AN787" s="80"/>
      <c r="AO787" s="81"/>
      <c r="AT787" s="82"/>
      <c r="AU787" s="82"/>
      <c r="AV787" s="82"/>
      <c r="AW787" s="82"/>
      <c r="AX787" s="82"/>
      <c r="AY787" s="82"/>
      <c r="AZ787" s="82"/>
      <c r="BA787" s="82"/>
      <c r="BB787" s="82"/>
      <c r="BC787" s="82"/>
      <c r="BD787" s="82"/>
      <c r="BE787" s="82"/>
    </row>
    <row r="788" ht="15.75" customHeight="1" spans="1:57" x14ac:dyDescent="0.25">
      <c r="A788" s="79"/>
      <c r="AN788" s="80"/>
      <c r="AO788" s="81"/>
      <c r="AT788" s="82"/>
      <c r="AU788" s="82"/>
      <c r="AV788" s="82"/>
      <c r="AW788" s="82"/>
      <c r="AX788" s="82"/>
      <c r="AY788" s="82"/>
      <c r="AZ788" s="82"/>
      <c r="BA788" s="82"/>
      <c r="BB788" s="82"/>
      <c r="BC788" s="82"/>
      <c r="BD788" s="82"/>
      <c r="BE788" s="82"/>
    </row>
    <row r="789" ht="15.75" customHeight="1" spans="1:57" x14ac:dyDescent="0.25">
      <c r="A789" s="79"/>
      <c r="AN789" s="80"/>
      <c r="AO789" s="81"/>
      <c r="AT789" s="82"/>
      <c r="AU789" s="82"/>
      <c r="AV789" s="82"/>
      <c r="AW789" s="82"/>
      <c r="AX789" s="82"/>
      <c r="AY789" s="82"/>
      <c r="AZ789" s="82"/>
      <c r="BA789" s="82"/>
      <c r="BB789" s="82"/>
      <c r="BC789" s="82"/>
      <c r="BD789" s="82"/>
      <c r="BE789" s="82"/>
    </row>
    <row r="790" ht="15.75" customHeight="1" spans="1:57" x14ac:dyDescent="0.25">
      <c r="A790" s="79"/>
      <c r="AN790" s="80"/>
      <c r="AO790" s="81"/>
      <c r="AT790" s="82"/>
      <c r="AU790" s="82"/>
      <c r="AV790" s="82"/>
      <c r="AW790" s="82"/>
      <c r="AX790" s="82"/>
      <c r="AY790" s="82"/>
      <c r="AZ790" s="82"/>
      <c r="BA790" s="82"/>
      <c r="BB790" s="82"/>
      <c r="BC790" s="82"/>
      <c r="BD790" s="82"/>
      <c r="BE790" s="82"/>
    </row>
    <row r="791" ht="15.75" customHeight="1" spans="1:57" x14ac:dyDescent="0.25">
      <c r="A791" s="79"/>
      <c r="AN791" s="80"/>
      <c r="AO791" s="81"/>
      <c r="AT791" s="82"/>
      <c r="AU791" s="82"/>
      <c r="AV791" s="82"/>
      <c r="AW791" s="82"/>
      <c r="AX791" s="82"/>
      <c r="AY791" s="82"/>
      <c r="AZ791" s="82"/>
      <c r="BA791" s="82"/>
      <c r="BB791" s="82"/>
      <c r="BC791" s="82"/>
      <c r="BD791" s="82"/>
      <c r="BE791" s="82"/>
    </row>
    <row r="792" ht="15.75" customHeight="1" spans="1:57" x14ac:dyDescent="0.25">
      <c r="A792" s="79"/>
      <c r="AN792" s="80"/>
      <c r="AO792" s="81"/>
      <c r="AT792" s="82"/>
      <c r="AU792" s="82"/>
      <c r="AV792" s="82"/>
      <c r="AW792" s="82"/>
      <c r="AX792" s="82"/>
      <c r="AY792" s="82"/>
      <c r="AZ792" s="82"/>
      <c r="BA792" s="82"/>
      <c r="BB792" s="82"/>
      <c r="BC792" s="82"/>
      <c r="BD792" s="82"/>
      <c r="BE792" s="82"/>
    </row>
    <row r="793" ht="15.75" customHeight="1" spans="1:57" x14ac:dyDescent="0.25">
      <c r="A793" s="79"/>
      <c r="AN793" s="80"/>
      <c r="AO793" s="81"/>
      <c r="AT793" s="82"/>
      <c r="AU793" s="82"/>
      <c r="AV793" s="82"/>
      <c r="AW793" s="82"/>
      <c r="AX793" s="82"/>
      <c r="AY793" s="82"/>
      <c r="AZ793" s="82"/>
      <c r="BA793" s="82"/>
      <c r="BB793" s="82"/>
      <c r="BC793" s="82"/>
      <c r="BD793" s="82"/>
      <c r="BE793" s="82"/>
    </row>
    <row r="794" ht="15.75" customHeight="1" spans="1:57" x14ac:dyDescent="0.25">
      <c r="A794" s="79"/>
      <c r="AN794" s="80"/>
      <c r="AO794" s="81"/>
      <c r="AT794" s="82"/>
      <c r="AU794" s="82"/>
      <c r="AV794" s="82"/>
      <c r="AW794" s="82"/>
      <c r="AX794" s="82"/>
      <c r="AY794" s="82"/>
      <c r="AZ794" s="82"/>
      <c r="BA794" s="82"/>
      <c r="BB794" s="82"/>
      <c r="BC794" s="82"/>
      <c r="BD794" s="82"/>
      <c r="BE794" s="82"/>
    </row>
    <row r="795" ht="15.75" customHeight="1" spans="1:57" x14ac:dyDescent="0.25">
      <c r="A795" s="79"/>
      <c r="AN795" s="80"/>
      <c r="AO795" s="81"/>
      <c r="AT795" s="82"/>
      <c r="AU795" s="82"/>
      <c r="AV795" s="82"/>
      <c r="AW795" s="82"/>
      <c r="AX795" s="82"/>
      <c r="AY795" s="82"/>
      <c r="AZ795" s="82"/>
      <c r="BA795" s="82"/>
      <c r="BB795" s="82"/>
      <c r="BC795" s="82"/>
      <c r="BD795" s="82"/>
      <c r="BE795" s="82"/>
    </row>
    <row r="796" ht="15.75" customHeight="1" spans="1:57" x14ac:dyDescent="0.25">
      <c r="A796" s="79"/>
      <c r="AN796" s="80"/>
      <c r="AO796" s="81"/>
      <c r="AT796" s="82"/>
      <c r="AU796" s="82"/>
      <c r="AV796" s="82"/>
      <c r="AW796" s="82"/>
      <c r="AX796" s="82"/>
      <c r="AY796" s="82"/>
      <c r="AZ796" s="82"/>
      <c r="BA796" s="82"/>
      <c r="BB796" s="82"/>
      <c r="BC796" s="82"/>
      <c r="BD796" s="82"/>
      <c r="BE796" s="82"/>
    </row>
    <row r="797" ht="15.75" customHeight="1" spans="1:57" x14ac:dyDescent="0.25">
      <c r="A797" s="79"/>
      <c r="AN797" s="80"/>
      <c r="AO797" s="81"/>
      <c r="AT797" s="82"/>
      <c r="AU797" s="82"/>
      <c r="AV797" s="82"/>
      <c r="AW797" s="82"/>
      <c r="AX797" s="82"/>
      <c r="AY797" s="82"/>
      <c r="AZ797" s="82"/>
      <c r="BA797" s="82"/>
      <c r="BB797" s="82"/>
      <c r="BC797" s="82"/>
      <c r="BD797" s="82"/>
      <c r="BE797" s="82"/>
    </row>
    <row r="798" ht="15.75" customHeight="1" spans="1:57" x14ac:dyDescent="0.25">
      <c r="A798" s="79"/>
      <c r="AN798" s="80"/>
      <c r="AO798" s="81"/>
      <c r="AT798" s="82"/>
      <c r="AU798" s="82"/>
      <c r="AV798" s="82"/>
      <c r="AW798" s="82"/>
      <c r="AX798" s="82"/>
      <c r="AY798" s="82"/>
      <c r="AZ798" s="82"/>
      <c r="BA798" s="82"/>
      <c r="BB798" s="82"/>
      <c r="BC798" s="82"/>
      <c r="BD798" s="82"/>
      <c r="BE798" s="82"/>
    </row>
    <row r="799" ht="15.75" customHeight="1" spans="1:57" x14ac:dyDescent="0.25">
      <c r="A799" s="79"/>
      <c r="AN799" s="80"/>
      <c r="AO799" s="81"/>
      <c r="AT799" s="82"/>
      <c r="AU799" s="82"/>
      <c r="AV799" s="82"/>
      <c r="AW799" s="82"/>
      <c r="AX799" s="82"/>
      <c r="AY799" s="82"/>
      <c r="AZ799" s="82"/>
      <c r="BA799" s="82"/>
      <c r="BB799" s="82"/>
      <c r="BC799" s="82"/>
      <c r="BD799" s="82"/>
      <c r="BE799" s="82"/>
    </row>
    <row r="800" ht="15.75" customHeight="1" spans="1:57" x14ac:dyDescent="0.25">
      <c r="A800" s="79"/>
      <c r="AN800" s="80"/>
      <c r="AO800" s="81"/>
      <c r="AT800" s="82"/>
      <c r="AU800" s="82"/>
      <c r="AV800" s="82"/>
      <c r="AW800" s="82"/>
      <c r="AX800" s="82"/>
      <c r="AY800" s="82"/>
      <c r="AZ800" s="82"/>
      <c r="BA800" s="82"/>
      <c r="BB800" s="82"/>
      <c r="BC800" s="82"/>
      <c r="BD800" s="82"/>
      <c r="BE800" s="82"/>
    </row>
    <row r="801" ht="15.75" customHeight="1" spans="1:57" x14ac:dyDescent="0.25">
      <c r="A801" s="79"/>
      <c r="AN801" s="80"/>
      <c r="AO801" s="81"/>
      <c r="AT801" s="82"/>
      <c r="AU801" s="82"/>
      <c r="AV801" s="82"/>
      <c r="AW801" s="82"/>
      <c r="AX801" s="82"/>
      <c r="AY801" s="82"/>
      <c r="AZ801" s="82"/>
      <c r="BA801" s="82"/>
      <c r="BB801" s="82"/>
      <c r="BC801" s="82"/>
      <c r="BD801" s="82"/>
      <c r="BE801" s="82"/>
    </row>
    <row r="802" ht="15.75" customHeight="1" spans="1:57" x14ac:dyDescent="0.25">
      <c r="A802" s="79"/>
      <c r="AN802" s="80"/>
      <c r="AO802" s="81"/>
      <c r="AT802" s="82"/>
      <c r="AU802" s="82"/>
      <c r="AV802" s="82"/>
      <c r="AW802" s="82"/>
      <c r="AX802" s="82"/>
      <c r="AY802" s="82"/>
      <c r="AZ802" s="82"/>
      <c r="BA802" s="82"/>
      <c r="BB802" s="82"/>
      <c r="BC802" s="82"/>
      <c r="BD802" s="82"/>
      <c r="BE802" s="82"/>
    </row>
    <row r="803" ht="15.75" customHeight="1" spans="1:57" x14ac:dyDescent="0.25">
      <c r="A803" s="79"/>
      <c r="AN803" s="80"/>
      <c r="AO803" s="81"/>
      <c r="AT803" s="82"/>
      <c r="AU803" s="82"/>
      <c r="AV803" s="82"/>
      <c r="AW803" s="82"/>
      <c r="AX803" s="82"/>
      <c r="AY803" s="82"/>
      <c r="AZ803" s="82"/>
      <c r="BA803" s="82"/>
      <c r="BB803" s="82"/>
      <c r="BC803" s="82"/>
      <c r="BD803" s="82"/>
      <c r="BE803" s="82"/>
    </row>
    <row r="804" ht="15.75" customHeight="1" spans="1:57" x14ac:dyDescent="0.25">
      <c r="A804" s="79"/>
      <c r="AN804" s="80"/>
      <c r="AO804" s="81"/>
      <c r="AT804" s="82"/>
      <c r="AU804" s="82"/>
      <c r="AV804" s="82"/>
      <c r="AW804" s="82"/>
      <c r="AX804" s="82"/>
      <c r="AY804" s="82"/>
      <c r="AZ804" s="82"/>
      <c r="BA804" s="82"/>
      <c r="BB804" s="82"/>
      <c r="BC804" s="82"/>
      <c r="BD804" s="82"/>
      <c r="BE804" s="82"/>
    </row>
    <row r="805" ht="15.75" customHeight="1" spans="1:57" x14ac:dyDescent="0.25">
      <c r="A805" s="79"/>
      <c r="AN805" s="80"/>
      <c r="AO805" s="81"/>
      <c r="AT805" s="82"/>
      <c r="AU805" s="82"/>
      <c r="AV805" s="82"/>
      <c r="AW805" s="82"/>
      <c r="AX805" s="82"/>
      <c r="AY805" s="82"/>
      <c r="AZ805" s="82"/>
      <c r="BA805" s="82"/>
      <c r="BB805" s="82"/>
      <c r="BC805" s="82"/>
      <c r="BD805" s="82"/>
      <c r="BE805" s="82"/>
    </row>
    <row r="806" ht="15.75" customHeight="1" spans="1:57" x14ac:dyDescent="0.25">
      <c r="A806" s="79"/>
      <c r="AN806" s="80"/>
      <c r="AO806" s="81"/>
      <c r="AT806" s="82"/>
      <c r="AU806" s="82"/>
      <c r="AV806" s="82"/>
      <c r="AW806" s="82"/>
      <c r="AX806" s="82"/>
      <c r="AY806" s="82"/>
      <c r="AZ806" s="82"/>
      <c r="BA806" s="82"/>
      <c r="BB806" s="82"/>
      <c r="BC806" s="82"/>
      <c r="BD806" s="82"/>
      <c r="BE806" s="82"/>
    </row>
    <row r="807" ht="15.75" customHeight="1" spans="1:57" x14ac:dyDescent="0.25">
      <c r="A807" s="79"/>
      <c r="AN807" s="80"/>
      <c r="AO807" s="81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</row>
    <row r="808" ht="15.75" customHeight="1" spans="1:57" x14ac:dyDescent="0.25">
      <c r="A808" s="79"/>
      <c r="AN808" s="80"/>
      <c r="AO808" s="81"/>
      <c r="AT808" s="82"/>
      <c r="AU808" s="82"/>
      <c r="AV808" s="82"/>
      <c r="AW808" s="82"/>
      <c r="AX808" s="82"/>
      <c r="AY808" s="82"/>
      <c r="AZ808" s="82"/>
      <c r="BA808" s="82"/>
      <c r="BB808" s="82"/>
      <c r="BC808" s="82"/>
      <c r="BD808" s="82"/>
      <c r="BE808" s="82"/>
    </row>
    <row r="809" ht="15.75" customHeight="1" spans="1:57" x14ac:dyDescent="0.25">
      <c r="A809" s="79"/>
      <c r="AN809" s="80"/>
      <c r="AO809" s="81"/>
      <c r="AT809" s="82"/>
      <c r="AU809" s="82"/>
      <c r="AV809" s="82"/>
      <c r="AW809" s="82"/>
      <c r="AX809" s="82"/>
      <c r="AY809" s="82"/>
      <c r="AZ809" s="82"/>
      <c r="BA809" s="82"/>
      <c r="BB809" s="82"/>
      <c r="BC809" s="82"/>
      <c r="BD809" s="82"/>
      <c r="BE809" s="82"/>
    </row>
    <row r="810" ht="15.75" customHeight="1" spans="1:57" x14ac:dyDescent="0.25">
      <c r="A810" s="79"/>
      <c r="AN810" s="80"/>
      <c r="AO810" s="81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</row>
    <row r="811" ht="15.75" customHeight="1" spans="1:57" x14ac:dyDescent="0.25">
      <c r="A811" s="79"/>
      <c r="AN811" s="80"/>
      <c r="AO811" s="81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</row>
    <row r="812" ht="15.75" customHeight="1" spans="1:57" x14ac:dyDescent="0.25">
      <c r="A812" s="79"/>
      <c r="AN812" s="80"/>
      <c r="AO812" s="81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</row>
    <row r="813" ht="15.75" customHeight="1" spans="1:57" x14ac:dyDescent="0.25">
      <c r="A813" s="79"/>
      <c r="AN813" s="80"/>
      <c r="AO813" s="81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</row>
    <row r="814" ht="15.75" customHeight="1" spans="1:57" x14ac:dyDescent="0.25">
      <c r="A814" s="79"/>
      <c r="AN814" s="80"/>
      <c r="AO814" s="81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</row>
    <row r="815" ht="15.75" customHeight="1" spans="1:57" x14ac:dyDescent="0.25">
      <c r="A815" s="79"/>
      <c r="AN815" s="80"/>
      <c r="AO815" s="81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</row>
    <row r="816" ht="15.75" customHeight="1" spans="1:57" x14ac:dyDescent="0.25">
      <c r="A816" s="79"/>
      <c r="AN816" s="80"/>
      <c r="AO816" s="81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</row>
    <row r="817" ht="15.75" customHeight="1" spans="1:57" x14ac:dyDescent="0.25">
      <c r="A817" s="79"/>
      <c r="AN817" s="80"/>
      <c r="AO817" s="81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</row>
    <row r="818" ht="15.75" customHeight="1" spans="1:57" x14ac:dyDescent="0.25">
      <c r="A818" s="79"/>
      <c r="AN818" s="80"/>
      <c r="AO818" s="81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</row>
    <row r="819" ht="15.75" customHeight="1" spans="1:57" x14ac:dyDescent="0.25">
      <c r="A819" s="79"/>
      <c r="AN819" s="80"/>
      <c r="AO819" s="81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</row>
    <row r="820" ht="15.75" customHeight="1" spans="1:57" x14ac:dyDescent="0.25">
      <c r="A820" s="79"/>
      <c r="AN820" s="80"/>
      <c r="AO820" s="81"/>
      <c r="AT820" s="82"/>
      <c r="AU820" s="82"/>
      <c r="AV820" s="82"/>
      <c r="AW820" s="82"/>
      <c r="AX820" s="82"/>
      <c r="AY820" s="82"/>
      <c r="AZ820" s="82"/>
      <c r="BA820" s="82"/>
      <c r="BB820" s="82"/>
      <c r="BC820" s="82"/>
      <c r="BD820" s="82"/>
      <c r="BE820" s="82"/>
    </row>
    <row r="821" ht="15.75" customHeight="1" spans="1:57" x14ac:dyDescent="0.25">
      <c r="A821" s="79"/>
      <c r="AN821" s="80"/>
      <c r="AO821" s="81"/>
      <c r="AT821" s="82"/>
      <c r="AU821" s="82"/>
      <c r="AV821" s="82"/>
      <c r="AW821" s="82"/>
      <c r="AX821" s="82"/>
      <c r="AY821" s="82"/>
      <c r="AZ821" s="82"/>
      <c r="BA821" s="82"/>
      <c r="BB821" s="82"/>
      <c r="BC821" s="82"/>
      <c r="BD821" s="82"/>
      <c r="BE821" s="82"/>
    </row>
    <row r="822" ht="15.75" customHeight="1" spans="1:57" x14ac:dyDescent="0.25">
      <c r="A822" s="79"/>
      <c r="AN822" s="80"/>
      <c r="AO822" s="81"/>
      <c r="AT822" s="82"/>
      <c r="AU822" s="82"/>
      <c r="AV822" s="82"/>
      <c r="AW822" s="82"/>
      <c r="AX822" s="82"/>
      <c r="AY822" s="82"/>
      <c r="AZ822" s="82"/>
      <c r="BA822" s="82"/>
      <c r="BB822" s="82"/>
      <c r="BC822" s="82"/>
      <c r="BD822" s="82"/>
      <c r="BE822" s="82"/>
    </row>
    <row r="823" ht="15.75" customHeight="1" spans="1:57" x14ac:dyDescent="0.25">
      <c r="A823" s="79"/>
      <c r="AN823" s="80"/>
      <c r="AO823" s="81"/>
      <c r="AT823" s="82"/>
      <c r="AU823" s="82"/>
      <c r="AV823" s="82"/>
      <c r="AW823" s="82"/>
      <c r="AX823" s="82"/>
      <c r="AY823" s="82"/>
      <c r="AZ823" s="82"/>
      <c r="BA823" s="82"/>
      <c r="BB823" s="82"/>
      <c r="BC823" s="82"/>
      <c r="BD823" s="82"/>
      <c r="BE823" s="82"/>
    </row>
    <row r="824" ht="15.75" customHeight="1" spans="1:57" x14ac:dyDescent="0.25">
      <c r="A824" s="79"/>
      <c r="AN824" s="80"/>
      <c r="AO824" s="81"/>
      <c r="AT824" s="82"/>
      <c r="AU824" s="82"/>
      <c r="AV824" s="82"/>
      <c r="AW824" s="82"/>
      <c r="AX824" s="82"/>
      <c r="AY824" s="82"/>
      <c r="AZ824" s="82"/>
      <c r="BA824" s="82"/>
      <c r="BB824" s="82"/>
      <c r="BC824" s="82"/>
      <c r="BD824" s="82"/>
      <c r="BE824" s="82"/>
    </row>
    <row r="825" ht="15.75" customHeight="1" spans="1:57" x14ac:dyDescent="0.25">
      <c r="A825" s="79"/>
      <c r="AN825" s="80"/>
      <c r="AO825" s="81"/>
      <c r="AT825" s="82"/>
      <c r="AU825" s="82"/>
      <c r="AV825" s="82"/>
      <c r="AW825" s="82"/>
      <c r="AX825" s="82"/>
      <c r="AY825" s="82"/>
      <c r="AZ825" s="82"/>
      <c r="BA825" s="82"/>
      <c r="BB825" s="82"/>
      <c r="BC825" s="82"/>
      <c r="BD825" s="82"/>
      <c r="BE825" s="82"/>
    </row>
    <row r="826" ht="15.75" customHeight="1" spans="1:57" x14ac:dyDescent="0.25">
      <c r="A826" s="79"/>
      <c r="AN826" s="80"/>
      <c r="AO826" s="81"/>
      <c r="AT826" s="82"/>
      <c r="AU826" s="82"/>
      <c r="AV826" s="82"/>
      <c r="AW826" s="82"/>
      <c r="AX826" s="82"/>
      <c r="AY826" s="82"/>
      <c r="AZ826" s="82"/>
      <c r="BA826" s="82"/>
      <c r="BB826" s="82"/>
      <c r="BC826" s="82"/>
      <c r="BD826" s="82"/>
      <c r="BE826" s="82"/>
    </row>
    <row r="827" ht="15.75" customHeight="1" spans="1:57" x14ac:dyDescent="0.25">
      <c r="A827" s="79"/>
      <c r="AN827" s="80"/>
      <c r="AO827" s="81"/>
      <c r="AT827" s="82"/>
      <c r="AU827" s="82"/>
      <c r="AV827" s="82"/>
      <c r="AW827" s="82"/>
      <c r="AX827" s="82"/>
      <c r="AY827" s="82"/>
      <c r="AZ827" s="82"/>
      <c r="BA827" s="82"/>
      <c r="BB827" s="82"/>
      <c r="BC827" s="82"/>
      <c r="BD827" s="82"/>
      <c r="BE827" s="82"/>
    </row>
    <row r="828" ht="15.75" customHeight="1" spans="1:57" x14ac:dyDescent="0.25">
      <c r="A828" s="79"/>
      <c r="AN828" s="80"/>
      <c r="AO828" s="81"/>
      <c r="AT828" s="82"/>
      <c r="AU828" s="82"/>
      <c r="AV828" s="82"/>
      <c r="AW828" s="82"/>
      <c r="AX828" s="82"/>
      <c r="AY828" s="82"/>
      <c r="AZ828" s="82"/>
      <c r="BA828" s="82"/>
      <c r="BB828" s="82"/>
      <c r="BC828" s="82"/>
      <c r="BD828" s="82"/>
      <c r="BE828" s="82"/>
    </row>
    <row r="829" ht="15.75" customHeight="1" spans="1:57" x14ac:dyDescent="0.25">
      <c r="A829" s="79"/>
      <c r="AN829" s="80"/>
      <c r="AO829" s="81"/>
      <c r="AT829" s="82"/>
      <c r="AU829" s="82"/>
      <c r="AV829" s="82"/>
      <c r="AW829" s="82"/>
      <c r="AX829" s="82"/>
      <c r="AY829" s="82"/>
      <c r="AZ829" s="82"/>
      <c r="BA829" s="82"/>
      <c r="BB829" s="82"/>
      <c r="BC829" s="82"/>
      <c r="BD829" s="82"/>
      <c r="BE829" s="82"/>
    </row>
    <row r="830" ht="15.75" customHeight="1" spans="1:57" x14ac:dyDescent="0.25">
      <c r="A830" s="79"/>
      <c r="AN830" s="80"/>
      <c r="AO830" s="81"/>
      <c r="AT830" s="82"/>
      <c r="AU830" s="82"/>
      <c r="AV830" s="82"/>
      <c r="AW830" s="82"/>
      <c r="AX830" s="82"/>
      <c r="AY830" s="82"/>
      <c r="AZ830" s="82"/>
      <c r="BA830" s="82"/>
      <c r="BB830" s="82"/>
      <c r="BC830" s="82"/>
      <c r="BD830" s="82"/>
      <c r="BE830" s="82"/>
    </row>
    <row r="831" ht="15.75" customHeight="1" spans="1:57" x14ac:dyDescent="0.25">
      <c r="A831" s="79"/>
      <c r="AN831" s="80"/>
      <c r="AO831" s="81"/>
      <c r="AT831" s="82"/>
      <c r="AU831" s="82"/>
      <c r="AV831" s="82"/>
      <c r="AW831" s="82"/>
      <c r="AX831" s="82"/>
      <c r="AY831" s="82"/>
      <c r="AZ831" s="82"/>
      <c r="BA831" s="82"/>
      <c r="BB831" s="82"/>
      <c r="BC831" s="82"/>
      <c r="BD831" s="82"/>
      <c r="BE831" s="82"/>
    </row>
    <row r="832" ht="15.75" customHeight="1" spans="1:57" x14ac:dyDescent="0.25">
      <c r="A832" s="79"/>
      <c r="AN832" s="80"/>
      <c r="AO832" s="81"/>
      <c r="AT832" s="82"/>
      <c r="AU832" s="82"/>
      <c r="AV832" s="82"/>
      <c r="AW832" s="82"/>
      <c r="AX832" s="82"/>
      <c r="AY832" s="82"/>
      <c r="AZ832" s="82"/>
      <c r="BA832" s="82"/>
      <c r="BB832" s="82"/>
      <c r="BC832" s="82"/>
      <c r="BD832" s="82"/>
      <c r="BE832" s="82"/>
    </row>
    <row r="833" ht="15.75" customHeight="1" spans="1:57" x14ac:dyDescent="0.25">
      <c r="A833" s="79"/>
      <c r="AN833" s="80"/>
      <c r="AO833" s="81"/>
      <c r="AT833" s="82"/>
      <c r="AU833" s="82"/>
      <c r="AV833" s="82"/>
      <c r="AW833" s="82"/>
      <c r="AX833" s="82"/>
      <c r="AY833" s="82"/>
      <c r="AZ833" s="82"/>
      <c r="BA833" s="82"/>
      <c r="BB833" s="82"/>
      <c r="BC833" s="82"/>
      <c r="BD833" s="82"/>
      <c r="BE833" s="82"/>
    </row>
    <row r="834" ht="15.75" customHeight="1" spans="1:57" x14ac:dyDescent="0.25">
      <c r="A834" s="79"/>
      <c r="AN834" s="80"/>
      <c r="AO834" s="81"/>
      <c r="AT834" s="82"/>
      <c r="AU834" s="82"/>
      <c r="AV834" s="82"/>
      <c r="AW834" s="82"/>
      <c r="AX834" s="82"/>
      <c r="AY834" s="82"/>
      <c r="AZ834" s="82"/>
      <c r="BA834" s="82"/>
      <c r="BB834" s="82"/>
      <c r="BC834" s="82"/>
      <c r="BD834" s="82"/>
      <c r="BE834" s="82"/>
    </row>
    <row r="835" ht="15.75" customHeight="1" spans="1:57" x14ac:dyDescent="0.25">
      <c r="A835" s="79"/>
      <c r="AN835" s="80"/>
      <c r="AO835" s="81"/>
      <c r="AT835" s="82"/>
      <c r="AU835" s="82"/>
      <c r="AV835" s="82"/>
      <c r="AW835" s="82"/>
      <c r="AX835" s="82"/>
      <c r="AY835" s="82"/>
      <c r="AZ835" s="82"/>
      <c r="BA835" s="82"/>
      <c r="BB835" s="82"/>
      <c r="BC835" s="82"/>
      <c r="BD835" s="82"/>
      <c r="BE835" s="82"/>
    </row>
    <row r="836" ht="15.75" customHeight="1" spans="1:57" x14ac:dyDescent="0.25">
      <c r="A836" s="79"/>
      <c r="AN836" s="80"/>
      <c r="AO836" s="81"/>
      <c r="AT836" s="82"/>
      <c r="AU836" s="82"/>
      <c r="AV836" s="82"/>
      <c r="AW836" s="82"/>
      <c r="AX836" s="82"/>
      <c r="AY836" s="82"/>
      <c r="AZ836" s="82"/>
      <c r="BA836" s="82"/>
      <c r="BB836" s="82"/>
      <c r="BC836" s="82"/>
      <c r="BD836" s="82"/>
      <c r="BE836" s="82"/>
    </row>
    <row r="837" ht="15.75" customHeight="1" spans="1:57" x14ac:dyDescent="0.25">
      <c r="A837" s="79"/>
      <c r="AN837" s="80"/>
      <c r="AO837" s="81"/>
      <c r="AT837" s="82"/>
      <c r="AU837" s="82"/>
      <c r="AV837" s="82"/>
      <c r="AW837" s="82"/>
      <c r="AX837" s="82"/>
      <c r="AY837" s="82"/>
      <c r="AZ837" s="82"/>
      <c r="BA837" s="82"/>
      <c r="BB837" s="82"/>
      <c r="BC837" s="82"/>
      <c r="BD837" s="82"/>
      <c r="BE837" s="82"/>
    </row>
    <row r="838" ht="15.75" customHeight="1" spans="1:57" x14ac:dyDescent="0.25">
      <c r="A838" s="79"/>
      <c r="AN838" s="80"/>
      <c r="AO838" s="81"/>
      <c r="AT838" s="82"/>
      <c r="AU838" s="82"/>
      <c r="AV838" s="82"/>
      <c r="AW838" s="82"/>
      <c r="AX838" s="82"/>
      <c r="AY838" s="82"/>
      <c r="AZ838" s="82"/>
      <c r="BA838" s="82"/>
      <c r="BB838" s="82"/>
      <c r="BC838" s="82"/>
      <c r="BD838" s="82"/>
      <c r="BE838" s="82"/>
    </row>
    <row r="839" ht="15.75" customHeight="1" spans="1:57" x14ac:dyDescent="0.25">
      <c r="A839" s="79"/>
      <c r="AN839" s="80"/>
      <c r="AO839" s="81"/>
      <c r="AT839" s="82"/>
      <c r="AU839" s="82"/>
      <c r="AV839" s="82"/>
      <c r="AW839" s="82"/>
      <c r="AX839" s="82"/>
      <c r="AY839" s="82"/>
      <c r="AZ839" s="82"/>
      <c r="BA839" s="82"/>
      <c r="BB839" s="82"/>
      <c r="BC839" s="82"/>
      <c r="BD839" s="82"/>
      <c r="BE839" s="82"/>
    </row>
    <row r="840" ht="15.75" customHeight="1" spans="1:57" x14ac:dyDescent="0.25">
      <c r="A840" s="79"/>
      <c r="AN840" s="80"/>
      <c r="AO840" s="81"/>
      <c r="AT840" s="82"/>
      <c r="AU840" s="82"/>
      <c r="AV840" s="82"/>
      <c r="AW840" s="82"/>
      <c r="AX840" s="82"/>
      <c r="AY840" s="82"/>
      <c r="AZ840" s="82"/>
      <c r="BA840" s="82"/>
      <c r="BB840" s="82"/>
      <c r="BC840" s="82"/>
      <c r="BD840" s="82"/>
      <c r="BE840" s="82"/>
    </row>
    <row r="841" ht="15.75" customHeight="1" spans="1:57" x14ac:dyDescent="0.25">
      <c r="A841" s="79"/>
      <c r="AN841" s="80"/>
      <c r="AO841" s="81"/>
      <c r="AT841" s="82"/>
      <c r="AU841" s="82"/>
      <c r="AV841" s="82"/>
      <c r="AW841" s="82"/>
      <c r="AX841" s="82"/>
      <c r="AY841" s="82"/>
      <c r="AZ841" s="82"/>
      <c r="BA841" s="82"/>
      <c r="BB841" s="82"/>
      <c r="BC841" s="82"/>
      <c r="BD841" s="82"/>
      <c r="BE841" s="82"/>
    </row>
    <row r="842" ht="15.75" customHeight="1" spans="1:57" x14ac:dyDescent="0.25">
      <c r="A842" s="79"/>
      <c r="AN842" s="80"/>
      <c r="AO842" s="81"/>
      <c r="AT842" s="82"/>
      <c r="AU842" s="82"/>
      <c r="AV842" s="82"/>
      <c r="AW842" s="82"/>
      <c r="AX842" s="82"/>
      <c r="AY842" s="82"/>
      <c r="AZ842" s="82"/>
      <c r="BA842" s="82"/>
      <c r="BB842" s="82"/>
      <c r="BC842" s="82"/>
      <c r="BD842" s="82"/>
      <c r="BE842" s="82"/>
    </row>
    <row r="843" ht="15.75" customHeight="1" spans="1:57" x14ac:dyDescent="0.25">
      <c r="A843" s="79"/>
      <c r="AN843" s="80"/>
      <c r="AO843" s="81"/>
      <c r="AT843" s="82"/>
      <c r="AU843" s="82"/>
      <c r="AV843" s="82"/>
      <c r="AW843" s="82"/>
      <c r="AX843" s="82"/>
      <c r="AY843" s="82"/>
      <c r="AZ843" s="82"/>
      <c r="BA843" s="82"/>
      <c r="BB843" s="82"/>
      <c r="BC843" s="82"/>
      <c r="BD843" s="82"/>
      <c r="BE843" s="82"/>
    </row>
    <row r="844" ht="15.75" customHeight="1" spans="1:57" x14ac:dyDescent="0.25">
      <c r="A844" s="79"/>
      <c r="AN844" s="80"/>
      <c r="AO844" s="81"/>
      <c r="AT844" s="82"/>
      <c r="AU844" s="82"/>
      <c r="AV844" s="82"/>
      <c r="AW844" s="82"/>
      <c r="AX844" s="82"/>
      <c r="AY844" s="82"/>
      <c r="AZ844" s="82"/>
      <c r="BA844" s="82"/>
      <c r="BB844" s="82"/>
      <c r="BC844" s="82"/>
      <c r="BD844" s="82"/>
      <c r="BE844" s="82"/>
    </row>
    <row r="845" ht="15.75" customHeight="1" spans="1:57" x14ac:dyDescent="0.25">
      <c r="A845" s="79"/>
      <c r="AN845" s="80"/>
      <c r="AO845" s="81"/>
      <c r="AT845" s="82"/>
      <c r="AU845" s="82"/>
      <c r="AV845" s="82"/>
      <c r="AW845" s="82"/>
      <c r="AX845" s="82"/>
      <c r="AY845" s="82"/>
      <c r="AZ845" s="82"/>
      <c r="BA845" s="82"/>
      <c r="BB845" s="82"/>
      <c r="BC845" s="82"/>
      <c r="BD845" s="82"/>
      <c r="BE845" s="82"/>
    </row>
    <row r="846" ht="15.75" customHeight="1" spans="1:57" x14ac:dyDescent="0.25">
      <c r="A846" s="79"/>
      <c r="AN846" s="80"/>
      <c r="AO846" s="81"/>
      <c r="AT846" s="82"/>
      <c r="AU846" s="82"/>
      <c r="AV846" s="82"/>
      <c r="AW846" s="82"/>
      <c r="AX846" s="82"/>
      <c r="AY846" s="82"/>
      <c r="AZ846" s="82"/>
      <c r="BA846" s="82"/>
      <c r="BB846" s="82"/>
      <c r="BC846" s="82"/>
      <c r="BD846" s="82"/>
      <c r="BE846" s="82"/>
    </row>
    <row r="847" ht="15.75" customHeight="1" spans="1:57" x14ac:dyDescent="0.25">
      <c r="A847" s="79"/>
      <c r="AN847" s="80"/>
      <c r="AO847" s="81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</row>
    <row r="848" ht="15.75" customHeight="1" spans="1:57" x14ac:dyDescent="0.25">
      <c r="A848" s="79"/>
      <c r="AN848" s="80"/>
      <c r="AO848" s="81"/>
      <c r="AT848" s="82"/>
      <c r="AU848" s="82"/>
      <c r="AV848" s="82"/>
      <c r="AW848" s="82"/>
      <c r="AX848" s="82"/>
      <c r="AY848" s="82"/>
      <c r="AZ848" s="82"/>
      <c r="BA848" s="82"/>
      <c r="BB848" s="82"/>
      <c r="BC848" s="82"/>
      <c r="BD848" s="82"/>
      <c r="BE848" s="82"/>
    </row>
    <row r="849" ht="15.75" customHeight="1" spans="1:57" x14ac:dyDescent="0.25">
      <c r="A849" s="79"/>
      <c r="AN849" s="80"/>
      <c r="AO849" s="81"/>
      <c r="AT849" s="82"/>
      <c r="AU849" s="82"/>
      <c r="AV849" s="82"/>
      <c r="AW849" s="82"/>
      <c r="AX849" s="82"/>
      <c r="AY849" s="82"/>
      <c r="AZ849" s="82"/>
      <c r="BA849" s="82"/>
      <c r="BB849" s="82"/>
      <c r="BC849" s="82"/>
      <c r="BD849" s="82"/>
      <c r="BE849" s="82"/>
    </row>
    <row r="850" ht="15.75" customHeight="1" spans="1:57" x14ac:dyDescent="0.25">
      <c r="A850" s="79"/>
      <c r="AN850" s="80"/>
      <c r="AO850" s="81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</row>
    <row r="851" ht="15.75" customHeight="1" spans="1:57" x14ac:dyDescent="0.25">
      <c r="A851" s="79"/>
      <c r="AN851" s="80"/>
      <c r="AO851" s="81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</row>
    <row r="852" ht="15.75" customHeight="1" spans="1:57" x14ac:dyDescent="0.25">
      <c r="A852" s="79"/>
      <c r="AN852" s="80"/>
      <c r="AO852" s="81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</row>
    <row r="853" ht="15.75" customHeight="1" spans="1:57" x14ac:dyDescent="0.25">
      <c r="A853" s="79"/>
      <c r="AN853" s="80"/>
      <c r="AO853" s="81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</row>
    <row r="854" ht="15.75" customHeight="1" spans="1:57" x14ac:dyDescent="0.25">
      <c r="A854" s="79"/>
      <c r="AN854" s="80"/>
      <c r="AO854" s="81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</row>
    <row r="855" ht="15.75" customHeight="1" spans="1:57" x14ac:dyDescent="0.25">
      <c r="A855" s="79"/>
      <c r="AN855" s="80"/>
      <c r="AO855" s="81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</row>
    <row r="856" ht="15.75" customHeight="1" spans="1:57" x14ac:dyDescent="0.25">
      <c r="A856" s="79"/>
      <c r="AN856" s="80"/>
      <c r="AO856" s="81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</row>
    <row r="857" ht="15.75" customHeight="1" spans="1:57" x14ac:dyDescent="0.25">
      <c r="A857" s="79"/>
      <c r="AN857" s="80"/>
      <c r="AO857" s="81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</row>
    <row r="858" ht="15.75" customHeight="1" spans="1:57" x14ac:dyDescent="0.25">
      <c r="A858" s="79"/>
      <c r="AN858" s="80"/>
      <c r="AO858" s="81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</row>
    <row r="859" ht="15.75" customHeight="1" spans="1:57" x14ac:dyDescent="0.25">
      <c r="A859" s="79"/>
      <c r="AN859" s="80"/>
      <c r="AO859" s="81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</row>
    <row r="860" ht="15.75" customHeight="1" spans="1:57" x14ac:dyDescent="0.25">
      <c r="A860" s="79"/>
      <c r="AN860" s="80"/>
      <c r="AO860" s="81"/>
      <c r="AT860" s="82"/>
      <c r="AU860" s="82"/>
      <c r="AV860" s="82"/>
      <c r="AW860" s="82"/>
      <c r="AX860" s="82"/>
      <c r="AY860" s="82"/>
      <c r="AZ860" s="82"/>
      <c r="BA860" s="82"/>
      <c r="BB860" s="82"/>
      <c r="BC860" s="82"/>
      <c r="BD860" s="82"/>
      <c r="BE860" s="82"/>
    </row>
    <row r="861" ht="15.75" customHeight="1" spans="1:57" x14ac:dyDescent="0.25">
      <c r="A861" s="79"/>
      <c r="AN861" s="80"/>
      <c r="AO861" s="81"/>
      <c r="AT861" s="82"/>
      <c r="AU861" s="82"/>
      <c r="AV861" s="82"/>
      <c r="AW861" s="82"/>
      <c r="AX861" s="82"/>
      <c r="AY861" s="82"/>
      <c r="AZ861" s="82"/>
      <c r="BA861" s="82"/>
      <c r="BB861" s="82"/>
      <c r="BC861" s="82"/>
      <c r="BD861" s="82"/>
      <c r="BE861" s="82"/>
    </row>
    <row r="862" ht="15.75" customHeight="1" spans="1:57" x14ac:dyDescent="0.25">
      <c r="A862" s="79"/>
      <c r="AN862" s="80"/>
      <c r="AO862" s="81"/>
      <c r="AT862" s="82"/>
      <c r="AU862" s="82"/>
      <c r="AV862" s="82"/>
      <c r="AW862" s="82"/>
      <c r="AX862" s="82"/>
      <c r="AY862" s="82"/>
      <c r="AZ862" s="82"/>
      <c r="BA862" s="82"/>
      <c r="BB862" s="82"/>
      <c r="BC862" s="82"/>
      <c r="BD862" s="82"/>
      <c r="BE862" s="82"/>
    </row>
    <row r="863" ht="15.75" customHeight="1" spans="1:57" x14ac:dyDescent="0.25">
      <c r="A863" s="79"/>
      <c r="AN863" s="80"/>
      <c r="AO863" s="81"/>
      <c r="AT863" s="82"/>
      <c r="AU863" s="82"/>
      <c r="AV863" s="82"/>
      <c r="AW863" s="82"/>
      <c r="AX863" s="82"/>
      <c r="AY863" s="82"/>
      <c r="AZ863" s="82"/>
      <c r="BA863" s="82"/>
      <c r="BB863" s="82"/>
      <c r="BC863" s="82"/>
      <c r="BD863" s="82"/>
      <c r="BE863" s="82"/>
    </row>
    <row r="864" ht="15.75" customHeight="1" spans="1:57" x14ac:dyDescent="0.25">
      <c r="A864" s="79"/>
      <c r="AN864" s="80"/>
      <c r="AO864" s="81"/>
      <c r="AT864" s="82"/>
      <c r="AU864" s="82"/>
      <c r="AV864" s="82"/>
      <c r="AW864" s="82"/>
      <c r="AX864" s="82"/>
      <c r="AY864" s="82"/>
      <c r="AZ864" s="82"/>
      <c r="BA864" s="82"/>
      <c r="BB864" s="82"/>
      <c r="BC864" s="82"/>
      <c r="BD864" s="82"/>
      <c r="BE864" s="82"/>
    </row>
    <row r="865" ht="15.75" customHeight="1" spans="1:57" x14ac:dyDescent="0.25">
      <c r="A865" s="79"/>
      <c r="AN865" s="80"/>
      <c r="AO865" s="81"/>
      <c r="AT865" s="82"/>
      <c r="AU865" s="82"/>
      <c r="AV865" s="82"/>
      <c r="AW865" s="82"/>
      <c r="AX865" s="82"/>
      <c r="AY865" s="82"/>
      <c r="AZ865" s="82"/>
      <c r="BA865" s="82"/>
      <c r="BB865" s="82"/>
      <c r="BC865" s="82"/>
      <c r="BD865" s="82"/>
      <c r="BE865" s="82"/>
    </row>
    <row r="866" ht="15.75" customHeight="1" spans="1:57" x14ac:dyDescent="0.25">
      <c r="A866" s="79"/>
      <c r="AN866" s="80"/>
      <c r="AO866" s="81"/>
      <c r="AT866" s="82"/>
      <c r="AU866" s="82"/>
      <c r="AV866" s="82"/>
      <c r="AW866" s="82"/>
      <c r="AX866" s="82"/>
      <c r="AY866" s="82"/>
      <c r="AZ866" s="82"/>
      <c r="BA866" s="82"/>
      <c r="BB866" s="82"/>
      <c r="BC866" s="82"/>
      <c r="BD866" s="82"/>
      <c r="BE866" s="82"/>
    </row>
    <row r="867" ht="15.75" customHeight="1" spans="1:57" x14ac:dyDescent="0.25">
      <c r="A867" s="79"/>
      <c r="AN867" s="80"/>
      <c r="AO867" s="81"/>
      <c r="AT867" s="82"/>
      <c r="AU867" s="82"/>
      <c r="AV867" s="82"/>
      <c r="AW867" s="82"/>
      <c r="AX867" s="82"/>
      <c r="AY867" s="82"/>
      <c r="AZ867" s="82"/>
      <c r="BA867" s="82"/>
      <c r="BB867" s="82"/>
      <c r="BC867" s="82"/>
      <c r="BD867" s="82"/>
      <c r="BE867" s="82"/>
    </row>
    <row r="868" ht="15.75" customHeight="1" spans="1:57" x14ac:dyDescent="0.25">
      <c r="A868" s="79"/>
      <c r="AN868" s="80"/>
      <c r="AO868" s="81"/>
      <c r="AT868" s="82"/>
      <c r="AU868" s="82"/>
      <c r="AV868" s="82"/>
      <c r="AW868" s="82"/>
      <c r="AX868" s="82"/>
      <c r="AY868" s="82"/>
      <c r="AZ868" s="82"/>
      <c r="BA868" s="82"/>
      <c r="BB868" s="82"/>
      <c r="BC868" s="82"/>
      <c r="BD868" s="82"/>
      <c r="BE868" s="82"/>
    </row>
    <row r="869" ht="15.75" customHeight="1" spans="1:57" x14ac:dyDescent="0.25">
      <c r="A869" s="79"/>
      <c r="AN869" s="80"/>
      <c r="AO869" s="81"/>
      <c r="AT869" s="82"/>
      <c r="AU869" s="82"/>
      <c r="AV869" s="82"/>
      <c r="AW869" s="82"/>
      <c r="AX869" s="82"/>
      <c r="AY869" s="82"/>
      <c r="AZ869" s="82"/>
      <c r="BA869" s="82"/>
      <c r="BB869" s="82"/>
      <c r="BC869" s="82"/>
      <c r="BD869" s="82"/>
      <c r="BE869" s="82"/>
    </row>
    <row r="870" ht="15.75" customHeight="1" spans="1:57" x14ac:dyDescent="0.25">
      <c r="A870" s="79"/>
      <c r="AN870" s="80"/>
      <c r="AO870" s="81"/>
      <c r="AT870" s="82"/>
      <c r="AU870" s="82"/>
      <c r="AV870" s="82"/>
      <c r="AW870" s="82"/>
      <c r="AX870" s="82"/>
      <c r="AY870" s="82"/>
      <c r="AZ870" s="82"/>
      <c r="BA870" s="82"/>
      <c r="BB870" s="82"/>
      <c r="BC870" s="82"/>
      <c r="BD870" s="82"/>
      <c r="BE870" s="82"/>
    </row>
    <row r="871" ht="15.75" customHeight="1" spans="1:57" x14ac:dyDescent="0.25">
      <c r="A871" s="79"/>
      <c r="AN871" s="80"/>
      <c r="AO871" s="81"/>
      <c r="AT871" s="82"/>
      <c r="AU871" s="82"/>
      <c r="AV871" s="82"/>
      <c r="AW871" s="82"/>
      <c r="AX871" s="82"/>
      <c r="AY871" s="82"/>
      <c r="AZ871" s="82"/>
      <c r="BA871" s="82"/>
      <c r="BB871" s="82"/>
      <c r="BC871" s="82"/>
      <c r="BD871" s="82"/>
      <c r="BE871" s="82"/>
    </row>
    <row r="872" ht="15.75" customHeight="1" spans="1:57" x14ac:dyDescent="0.25">
      <c r="A872" s="79"/>
      <c r="AN872" s="80"/>
      <c r="AO872" s="81"/>
      <c r="AT872" s="82"/>
      <c r="AU872" s="82"/>
      <c r="AV872" s="82"/>
      <c r="AW872" s="82"/>
      <c r="AX872" s="82"/>
      <c r="AY872" s="82"/>
      <c r="AZ872" s="82"/>
      <c r="BA872" s="82"/>
      <c r="BB872" s="82"/>
      <c r="BC872" s="82"/>
      <c r="BD872" s="82"/>
      <c r="BE872" s="82"/>
    </row>
    <row r="873" ht="15.75" customHeight="1" spans="1:57" x14ac:dyDescent="0.25">
      <c r="A873" s="79"/>
      <c r="AN873" s="80"/>
      <c r="AO873" s="81"/>
      <c r="AT873" s="82"/>
      <c r="AU873" s="82"/>
      <c r="AV873" s="82"/>
      <c r="AW873" s="82"/>
      <c r="AX873" s="82"/>
      <c r="AY873" s="82"/>
      <c r="AZ873" s="82"/>
      <c r="BA873" s="82"/>
      <c r="BB873" s="82"/>
      <c r="BC873" s="82"/>
      <c r="BD873" s="82"/>
      <c r="BE873" s="82"/>
    </row>
    <row r="874" ht="15.75" customHeight="1" spans="1:57" x14ac:dyDescent="0.25">
      <c r="A874" s="79"/>
      <c r="AN874" s="80"/>
      <c r="AO874" s="81"/>
      <c r="AT874" s="82"/>
      <c r="AU874" s="82"/>
      <c r="AV874" s="82"/>
      <c r="AW874" s="82"/>
      <c r="AX874" s="82"/>
      <c r="AY874" s="82"/>
      <c r="AZ874" s="82"/>
      <c r="BA874" s="82"/>
      <c r="BB874" s="82"/>
      <c r="BC874" s="82"/>
      <c r="BD874" s="82"/>
      <c r="BE874" s="82"/>
    </row>
    <row r="875" ht="15.75" customHeight="1" spans="1:57" x14ac:dyDescent="0.25">
      <c r="A875" s="79"/>
      <c r="AN875" s="80"/>
      <c r="AO875" s="81"/>
      <c r="AT875" s="82"/>
      <c r="AU875" s="82"/>
      <c r="AV875" s="82"/>
      <c r="AW875" s="82"/>
      <c r="AX875" s="82"/>
      <c r="AY875" s="82"/>
      <c r="AZ875" s="82"/>
      <c r="BA875" s="82"/>
      <c r="BB875" s="82"/>
      <c r="BC875" s="82"/>
      <c r="BD875" s="82"/>
      <c r="BE875" s="82"/>
    </row>
    <row r="876" ht="15.75" customHeight="1" spans="1:57" x14ac:dyDescent="0.25">
      <c r="A876" s="79"/>
      <c r="AN876" s="80"/>
      <c r="AO876" s="81"/>
      <c r="AT876" s="82"/>
      <c r="AU876" s="82"/>
      <c r="AV876" s="82"/>
      <c r="AW876" s="82"/>
      <c r="AX876" s="82"/>
      <c r="AY876" s="82"/>
      <c r="AZ876" s="82"/>
      <c r="BA876" s="82"/>
      <c r="BB876" s="82"/>
      <c r="BC876" s="82"/>
      <c r="BD876" s="82"/>
      <c r="BE876" s="82"/>
    </row>
    <row r="877" ht="15.75" customHeight="1" spans="1:57" x14ac:dyDescent="0.25">
      <c r="A877" s="79"/>
      <c r="AN877" s="80"/>
      <c r="AO877" s="81"/>
      <c r="AT877" s="82"/>
      <c r="AU877" s="82"/>
      <c r="AV877" s="82"/>
      <c r="AW877" s="82"/>
      <c r="AX877" s="82"/>
      <c r="AY877" s="82"/>
      <c r="AZ877" s="82"/>
      <c r="BA877" s="82"/>
      <c r="BB877" s="82"/>
      <c r="BC877" s="82"/>
      <c r="BD877" s="82"/>
      <c r="BE877" s="82"/>
    </row>
    <row r="878" ht="15.75" customHeight="1" spans="1:57" x14ac:dyDescent="0.25">
      <c r="A878" s="79"/>
      <c r="AN878" s="80"/>
      <c r="AO878" s="81"/>
      <c r="AT878" s="82"/>
      <c r="AU878" s="82"/>
      <c r="AV878" s="82"/>
      <c r="AW878" s="82"/>
      <c r="AX878" s="82"/>
      <c r="AY878" s="82"/>
      <c r="AZ878" s="82"/>
      <c r="BA878" s="82"/>
      <c r="BB878" s="82"/>
      <c r="BC878" s="82"/>
      <c r="BD878" s="82"/>
      <c r="BE878" s="82"/>
    </row>
    <row r="879" ht="15.75" customHeight="1" spans="1:57" x14ac:dyDescent="0.25">
      <c r="A879" s="79"/>
      <c r="AN879" s="80"/>
      <c r="AO879" s="81"/>
      <c r="AT879" s="82"/>
      <c r="AU879" s="82"/>
      <c r="AV879" s="82"/>
      <c r="AW879" s="82"/>
      <c r="AX879" s="82"/>
      <c r="AY879" s="82"/>
      <c r="AZ879" s="82"/>
      <c r="BA879" s="82"/>
      <c r="BB879" s="82"/>
      <c r="BC879" s="82"/>
      <c r="BD879" s="82"/>
      <c r="BE879" s="82"/>
    </row>
    <row r="880" ht="15.75" customHeight="1" spans="1:57" x14ac:dyDescent="0.25">
      <c r="A880" s="79"/>
      <c r="AN880" s="80"/>
      <c r="AO880" s="81"/>
      <c r="AT880" s="82"/>
      <c r="AU880" s="82"/>
      <c r="AV880" s="82"/>
      <c r="AW880" s="82"/>
      <c r="AX880" s="82"/>
      <c r="AY880" s="82"/>
      <c r="AZ880" s="82"/>
      <c r="BA880" s="82"/>
      <c r="BB880" s="82"/>
      <c r="BC880" s="82"/>
      <c r="BD880" s="82"/>
      <c r="BE880" s="82"/>
    </row>
    <row r="881" ht="15.75" customHeight="1" spans="1:57" x14ac:dyDescent="0.25">
      <c r="A881" s="79"/>
      <c r="AN881" s="80"/>
      <c r="AO881" s="81"/>
      <c r="AT881" s="82"/>
      <c r="AU881" s="82"/>
      <c r="AV881" s="82"/>
      <c r="AW881" s="82"/>
      <c r="AX881" s="82"/>
      <c r="AY881" s="82"/>
      <c r="AZ881" s="82"/>
      <c r="BA881" s="82"/>
      <c r="BB881" s="82"/>
      <c r="BC881" s="82"/>
      <c r="BD881" s="82"/>
      <c r="BE881" s="82"/>
    </row>
    <row r="882" ht="15.75" customHeight="1" spans="1:57" x14ac:dyDescent="0.25">
      <c r="A882" s="79"/>
      <c r="AN882" s="80"/>
      <c r="AO882" s="81"/>
      <c r="AT882" s="82"/>
      <c r="AU882" s="82"/>
      <c r="AV882" s="82"/>
      <c r="AW882" s="82"/>
      <c r="AX882" s="82"/>
      <c r="AY882" s="82"/>
      <c r="AZ882" s="82"/>
      <c r="BA882" s="82"/>
      <c r="BB882" s="82"/>
      <c r="BC882" s="82"/>
      <c r="BD882" s="82"/>
      <c r="BE882" s="82"/>
    </row>
    <row r="883" ht="15.75" customHeight="1" spans="1:57" x14ac:dyDescent="0.25">
      <c r="A883" s="79"/>
      <c r="AN883" s="80"/>
      <c r="AO883" s="81"/>
      <c r="AT883" s="82"/>
      <c r="AU883" s="82"/>
      <c r="AV883" s="82"/>
      <c r="AW883" s="82"/>
      <c r="AX883" s="82"/>
      <c r="AY883" s="82"/>
      <c r="AZ883" s="82"/>
      <c r="BA883" s="82"/>
      <c r="BB883" s="82"/>
      <c r="BC883" s="82"/>
      <c r="BD883" s="82"/>
      <c r="BE883" s="82"/>
    </row>
    <row r="884" ht="15.75" customHeight="1" spans="1:57" x14ac:dyDescent="0.25">
      <c r="A884" s="79"/>
      <c r="AN884" s="80"/>
      <c r="AO884" s="81"/>
      <c r="AT884" s="82"/>
      <c r="AU884" s="82"/>
      <c r="AV884" s="82"/>
      <c r="AW884" s="82"/>
      <c r="AX884" s="82"/>
      <c r="AY884" s="82"/>
      <c r="AZ884" s="82"/>
      <c r="BA884" s="82"/>
      <c r="BB884" s="82"/>
      <c r="BC884" s="82"/>
      <c r="BD884" s="82"/>
      <c r="BE884" s="82"/>
    </row>
    <row r="885" ht="15.75" customHeight="1" spans="1:57" x14ac:dyDescent="0.25">
      <c r="A885" s="79"/>
      <c r="AN885" s="80"/>
      <c r="AO885" s="81"/>
      <c r="AT885" s="82"/>
      <c r="AU885" s="82"/>
      <c r="AV885" s="82"/>
      <c r="AW885" s="82"/>
      <c r="AX885" s="82"/>
      <c r="AY885" s="82"/>
      <c r="AZ885" s="82"/>
      <c r="BA885" s="82"/>
      <c r="BB885" s="82"/>
      <c r="BC885" s="82"/>
      <c r="BD885" s="82"/>
      <c r="BE885" s="82"/>
    </row>
    <row r="886" ht="15.75" customHeight="1" spans="1:57" x14ac:dyDescent="0.25">
      <c r="A886" s="79"/>
      <c r="AN886" s="80"/>
      <c r="AO886" s="81"/>
      <c r="AT886" s="82"/>
      <c r="AU886" s="82"/>
      <c r="AV886" s="82"/>
      <c r="AW886" s="82"/>
      <c r="AX886" s="82"/>
      <c r="AY886" s="82"/>
      <c r="AZ886" s="82"/>
      <c r="BA886" s="82"/>
      <c r="BB886" s="82"/>
      <c r="BC886" s="82"/>
      <c r="BD886" s="82"/>
      <c r="BE886" s="82"/>
    </row>
    <row r="887" ht="15.75" customHeight="1" spans="1:57" x14ac:dyDescent="0.25">
      <c r="A887" s="79"/>
      <c r="AN887" s="80"/>
      <c r="AO887" s="81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</row>
    <row r="888" ht="15.75" customHeight="1" spans="1:57" x14ac:dyDescent="0.25">
      <c r="A888" s="79"/>
      <c r="AN888" s="80"/>
      <c r="AO888" s="81"/>
      <c r="AT888" s="82"/>
      <c r="AU888" s="82"/>
      <c r="AV888" s="82"/>
      <c r="AW888" s="82"/>
      <c r="AX888" s="82"/>
      <c r="AY888" s="82"/>
      <c r="AZ888" s="82"/>
      <c r="BA888" s="82"/>
      <c r="BB888" s="82"/>
      <c r="BC888" s="82"/>
      <c r="BD888" s="82"/>
      <c r="BE888" s="82"/>
    </row>
    <row r="889" ht="15.75" customHeight="1" spans="1:57" x14ac:dyDescent="0.25">
      <c r="A889" s="79"/>
      <c r="AN889" s="80"/>
      <c r="AO889" s="81"/>
      <c r="AT889" s="82"/>
      <c r="AU889" s="82"/>
      <c r="AV889" s="82"/>
      <c r="AW889" s="82"/>
      <c r="AX889" s="82"/>
      <c r="AY889" s="82"/>
      <c r="AZ889" s="82"/>
      <c r="BA889" s="82"/>
      <c r="BB889" s="82"/>
      <c r="BC889" s="82"/>
      <c r="BD889" s="82"/>
      <c r="BE889" s="82"/>
    </row>
    <row r="890" ht="15.75" customHeight="1" spans="1:57" x14ac:dyDescent="0.25">
      <c r="A890" s="79"/>
      <c r="AN890" s="80"/>
      <c r="AO890" s="81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</row>
    <row r="891" ht="15.75" customHeight="1" spans="1:57" x14ac:dyDescent="0.25">
      <c r="A891" s="79"/>
      <c r="AN891" s="80"/>
      <c r="AO891" s="81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</row>
    <row r="892" ht="15.75" customHeight="1" spans="1:57" x14ac:dyDescent="0.25">
      <c r="A892" s="79"/>
      <c r="AN892" s="80"/>
      <c r="AO892" s="81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</row>
    <row r="893" ht="15.75" customHeight="1" spans="1:57" x14ac:dyDescent="0.25">
      <c r="A893" s="79"/>
      <c r="AN893" s="80"/>
      <c r="AO893" s="81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</row>
    <row r="894" ht="15.75" customHeight="1" spans="1:57" x14ac:dyDescent="0.25">
      <c r="A894" s="79"/>
      <c r="AN894" s="80"/>
      <c r="AO894" s="81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</row>
    <row r="895" ht="15.75" customHeight="1" spans="1:57" x14ac:dyDescent="0.25">
      <c r="A895" s="79"/>
      <c r="AN895" s="80"/>
      <c r="AO895" s="81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</row>
    <row r="896" ht="15.75" customHeight="1" spans="1:57" x14ac:dyDescent="0.25">
      <c r="A896" s="79"/>
      <c r="AN896" s="80"/>
      <c r="AO896" s="81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</row>
    <row r="897" ht="15.75" customHeight="1" spans="1:57" x14ac:dyDescent="0.25">
      <c r="A897" s="79"/>
      <c r="AN897" s="80"/>
      <c r="AO897" s="81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</row>
    <row r="898" ht="15.75" customHeight="1" spans="1:57" x14ac:dyDescent="0.25">
      <c r="A898" s="79"/>
      <c r="AN898" s="80"/>
      <c r="AO898" s="81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</row>
    <row r="899" ht="15.75" customHeight="1" spans="1:57" x14ac:dyDescent="0.25">
      <c r="A899" s="79"/>
      <c r="AN899" s="80"/>
      <c r="AO899" s="81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</row>
    <row r="900" ht="15.75" customHeight="1" spans="1:57" x14ac:dyDescent="0.25">
      <c r="A900" s="79"/>
      <c r="AN900" s="80"/>
      <c r="AO900" s="81"/>
      <c r="AT900" s="82"/>
      <c r="AU900" s="82"/>
      <c r="AV900" s="82"/>
      <c r="AW900" s="82"/>
      <c r="AX900" s="82"/>
      <c r="AY900" s="82"/>
      <c r="AZ900" s="82"/>
      <c r="BA900" s="82"/>
      <c r="BB900" s="82"/>
      <c r="BC900" s="82"/>
      <c r="BD900" s="82"/>
      <c r="BE900" s="82"/>
    </row>
    <row r="901" ht="15.75" customHeight="1" spans="1:57" x14ac:dyDescent="0.25">
      <c r="A901" s="79"/>
      <c r="AN901" s="80"/>
      <c r="AO901" s="81"/>
      <c r="AT901" s="82"/>
      <c r="AU901" s="82"/>
      <c r="AV901" s="82"/>
      <c r="AW901" s="82"/>
      <c r="AX901" s="82"/>
      <c r="AY901" s="82"/>
      <c r="AZ901" s="82"/>
      <c r="BA901" s="82"/>
      <c r="BB901" s="82"/>
      <c r="BC901" s="82"/>
      <c r="BD901" s="82"/>
      <c r="BE901" s="82"/>
    </row>
    <row r="902" ht="15.75" customHeight="1" spans="1:57" x14ac:dyDescent="0.25">
      <c r="A902" s="79"/>
      <c r="AN902" s="80"/>
      <c r="AO902" s="81"/>
      <c r="AT902" s="82"/>
      <c r="AU902" s="82"/>
      <c r="AV902" s="82"/>
      <c r="AW902" s="82"/>
      <c r="AX902" s="82"/>
      <c r="AY902" s="82"/>
      <c r="AZ902" s="82"/>
      <c r="BA902" s="82"/>
      <c r="BB902" s="82"/>
      <c r="BC902" s="82"/>
      <c r="BD902" s="82"/>
      <c r="BE902" s="82"/>
    </row>
    <row r="903" ht="15.75" customHeight="1" spans="1:57" x14ac:dyDescent="0.25">
      <c r="A903" s="79"/>
      <c r="AN903" s="80"/>
      <c r="AO903" s="81"/>
      <c r="AT903" s="82"/>
      <c r="AU903" s="82"/>
      <c r="AV903" s="82"/>
      <c r="AW903" s="82"/>
      <c r="AX903" s="82"/>
      <c r="AY903" s="82"/>
      <c r="AZ903" s="82"/>
      <c r="BA903" s="82"/>
      <c r="BB903" s="82"/>
      <c r="BC903" s="82"/>
      <c r="BD903" s="82"/>
      <c r="BE903" s="82"/>
    </row>
    <row r="904" ht="15.75" customHeight="1" spans="1:57" x14ac:dyDescent="0.25">
      <c r="A904" s="79"/>
      <c r="AN904" s="80"/>
      <c r="AO904" s="81"/>
      <c r="AT904" s="82"/>
      <c r="AU904" s="82"/>
      <c r="AV904" s="82"/>
      <c r="AW904" s="82"/>
      <c r="AX904" s="82"/>
      <c r="AY904" s="82"/>
      <c r="AZ904" s="82"/>
      <c r="BA904" s="82"/>
      <c r="BB904" s="82"/>
      <c r="BC904" s="82"/>
      <c r="BD904" s="82"/>
      <c r="BE904" s="82"/>
    </row>
    <row r="905" ht="15.75" customHeight="1" spans="1:57" x14ac:dyDescent="0.25">
      <c r="A905" s="79"/>
      <c r="AN905" s="80"/>
      <c r="AO905" s="81"/>
      <c r="AT905" s="82"/>
      <c r="AU905" s="82"/>
      <c r="AV905" s="82"/>
      <c r="AW905" s="82"/>
      <c r="AX905" s="82"/>
      <c r="AY905" s="82"/>
      <c r="AZ905" s="82"/>
      <c r="BA905" s="82"/>
      <c r="BB905" s="82"/>
      <c r="BC905" s="82"/>
      <c r="BD905" s="82"/>
      <c r="BE905" s="82"/>
    </row>
    <row r="906" ht="15.75" customHeight="1" spans="1:57" x14ac:dyDescent="0.25">
      <c r="A906" s="79"/>
      <c r="AN906" s="80"/>
      <c r="AO906" s="81"/>
      <c r="AT906" s="82"/>
      <c r="AU906" s="82"/>
      <c r="AV906" s="82"/>
      <c r="AW906" s="82"/>
      <c r="AX906" s="82"/>
      <c r="AY906" s="82"/>
      <c r="AZ906" s="82"/>
      <c r="BA906" s="82"/>
      <c r="BB906" s="82"/>
      <c r="BC906" s="82"/>
      <c r="BD906" s="82"/>
      <c r="BE906" s="82"/>
    </row>
    <row r="907" ht="15.75" customHeight="1" spans="1:57" x14ac:dyDescent="0.25">
      <c r="A907" s="79"/>
      <c r="AN907" s="80"/>
      <c r="AO907" s="81"/>
      <c r="AT907" s="82"/>
      <c r="AU907" s="82"/>
      <c r="AV907" s="82"/>
      <c r="AW907" s="82"/>
      <c r="AX907" s="82"/>
      <c r="AY907" s="82"/>
      <c r="AZ907" s="82"/>
      <c r="BA907" s="82"/>
      <c r="BB907" s="82"/>
      <c r="BC907" s="82"/>
      <c r="BD907" s="82"/>
      <c r="BE907" s="82"/>
    </row>
    <row r="908" ht="15.75" customHeight="1" spans="1:57" x14ac:dyDescent="0.25">
      <c r="A908" s="79"/>
      <c r="AN908" s="80"/>
      <c r="AO908" s="81"/>
      <c r="AT908" s="82"/>
      <c r="AU908" s="82"/>
      <c r="AV908" s="82"/>
      <c r="AW908" s="82"/>
      <c r="AX908" s="82"/>
      <c r="AY908" s="82"/>
      <c r="AZ908" s="82"/>
      <c r="BA908" s="82"/>
      <c r="BB908" s="82"/>
      <c r="BC908" s="82"/>
      <c r="BD908" s="82"/>
      <c r="BE908" s="82"/>
    </row>
    <row r="909" ht="15.75" customHeight="1" spans="1:57" x14ac:dyDescent="0.25">
      <c r="A909" s="79"/>
      <c r="AN909" s="80"/>
      <c r="AO909" s="81"/>
      <c r="AT909" s="82"/>
      <c r="AU909" s="82"/>
      <c r="AV909" s="82"/>
      <c r="AW909" s="82"/>
      <c r="AX909" s="82"/>
      <c r="AY909" s="82"/>
      <c r="AZ909" s="82"/>
      <c r="BA909" s="82"/>
      <c r="BB909" s="82"/>
      <c r="BC909" s="82"/>
      <c r="BD909" s="82"/>
      <c r="BE909" s="82"/>
    </row>
    <row r="910" ht="15.75" customHeight="1" spans="1:57" x14ac:dyDescent="0.25">
      <c r="A910" s="79"/>
      <c r="AN910" s="80"/>
      <c r="AO910" s="81"/>
      <c r="AT910" s="82"/>
      <c r="AU910" s="82"/>
      <c r="AV910" s="82"/>
      <c r="AW910" s="82"/>
      <c r="AX910" s="82"/>
      <c r="AY910" s="82"/>
      <c r="AZ910" s="82"/>
      <c r="BA910" s="82"/>
      <c r="BB910" s="82"/>
      <c r="BC910" s="82"/>
      <c r="BD910" s="82"/>
      <c r="BE910" s="82"/>
    </row>
    <row r="911" ht="15.75" customHeight="1" spans="1:57" x14ac:dyDescent="0.25">
      <c r="A911" s="79"/>
      <c r="AN911" s="80"/>
      <c r="AO911" s="81"/>
      <c r="AT911" s="82"/>
      <c r="AU911" s="82"/>
      <c r="AV911" s="82"/>
      <c r="AW911" s="82"/>
      <c r="AX911" s="82"/>
      <c r="AY911" s="82"/>
      <c r="AZ911" s="82"/>
      <c r="BA911" s="82"/>
      <c r="BB911" s="82"/>
      <c r="BC911" s="82"/>
      <c r="BD911" s="82"/>
      <c r="BE911" s="82"/>
    </row>
    <row r="912" ht="15.75" customHeight="1" spans="1:57" x14ac:dyDescent="0.25">
      <c r="A912" s="79"/>
      <c r="AN912" s="80"/>
      <c r="AO912" s="81"/>
      <c r="AT912" s="82"/>
      <c r="AU912" s="82"/>
      <c r="AV912" s="82"/>
      <c r="AW912" s="82"/>
      <c r="AX912" s="82"/>
      <c r="AY912" s="82"/>
      <c r="AZ912" s="82"/>
      <c r="BA912" s="82"/>
      <c r="BB912" s="82"/>
      <c r="BC912" s="82"/>
      <c r="BD912" s="82"/>
      <c r="BE912" s="82"/>
    </row>
    <row r="913" ht="15.75" customHeight="1" spans="1:57" x14ac:dyDescent="0.25">
      <c r="A913" s="79"/>
      <c r="AN913" s="80"/>
      <c r="AO913" s="81"/>
      <c r="AT913" s="82"/>
      <c r="AU913" s="82"/>
      <c r="AV913" s="82"/>
      <c r="AW913" s="82"/>
      <c r="AX913" s="82"/>
      <c r="AY913" s="82"/>
      <c r="AZ913" s="82"/>
      <c r="BA913" s="82"/>
      <c r="BB913" s="82"/>
      <c r="BC913" s="82"/>
      <c r="BD913" s="82"/>
      <c r="BE913" s="82"/>
    </row>
    <row r="914" ht="15.75" customHeight="1" spans="1:57" x14ac:dyDescent="0.25">
      <c r="A914" s="79"/>
      <c r="AN914" s="80"/>
      <c r="AO914" s="81"/>
      <c r="AT914" s="82"/>
      <c r="AU914" s="82"/>
      <c r="AV914" s="82"/>
      <c r="AW914" s="82"/>
      <c r="AX914" s="82"/>
      <c r="AY914" s="82"/>
      <c r="AZ914" s="82"/>
      <c r="BA914" s="82"/>
      <c r="BB914" s="82"/>
      <c r="BC914" s="82"/>
      <c r="BD914" s="82"/>
      <c r="BE914" s="82"/>
    </row>
    <row r="915" ht="15.75" customHeight="1" spans="1:57" x14ac:dyDescent="0.25">
      <c r="A915" s="79"/>
      <c r="AN915" s="80"/>
      <c r="AO915" s="81"/>
      <c r="AT915" s="82"/>
      <c r="AU915" s="82"/>
      <c r="AV915" s="82"/>
      <c r="AW915" s="82"/>
      <c r="AX915" s="82"/>
      <c r="AY915" s="82"/>
      <c r="AZ915" s="82"/>
      <c r="BA915" s="82"/>
      <c r="BB915" s="82"/>
      <c r="BC915" s="82"/>
      <c r="BD915" s="82"/>
      <c r="BE915" s="82"/>
    </row>
    <row r="916" ht="15.75" customHeight="1" spans="1:57" x14ac:dyDescent="0.25">
      <c r="A916" s="79"/>
      <c r="AN916" s="80"/>
      <c r="AO916" s="81"/>
      <c r="AT916" s="82"/>
      <c r="AU916" s="82"/>
      <c r="AV916" s="82"/>
      <c r="AW916" s="82"/>
      <c r="AX916" s="82"/>
      <c r="AY916" s="82"/>
      <c r="AZ916" s="82"/>
      <c r="BA916" s="82"/>
      <c r="BB916" s="82"/>
      <c r="BC916" s="82"/>
      <c r="BD916" s="82"/>
      <c r="BE916" s="82"/>
    </row>
    <row r="917" ht="15.75" customHeight="1" spans="1:57" x14ac:dyDescent="0.25">
      <c r="A917" s="79"/>
      <c r="AN917" s="80"/>
      <c r="AO917" s="81"/>
      <c r="AT917" s="82"/>
      <c r="AU917" s="82"/>
      <c r="AV917" s="82"/>
      <c r="AW917" s="82"/>
      <c r="AX917" s="82"/>
      <c r="AY917" s="82"/>
      <c r="AZ917" s="82"/>
      <c r="BA917" s="82"/>
      <c r="BB917" s="82"/>
      <c r="BC917" s="82"/>
      <c r="BD917" s="82"/>
      <c r="BE917" s="82"/>
    </row>
    <row r="918" ht="15.75" customHeight="1" spans="1:57" x14ac:dyDescent="0.25">
      <c r="A918" s="79"/>
      <c r="AN918" s="80"/>
      <c r="AO918" s="81"/>
      <c r="AT918" s="82"/>
      <c r="AU918" s="82"/>
      <c r="AV918" s="82"/>
      <c r="AW918" s="82"/>
      <c r="AX918" s="82"/>
      <c r="AY918" s="82"/>
      <c r="AZ918" s="82"/>
      <c r="BA918" s="82"/>
      <c r="BB918" s="82"/>
      <c r="BC918" s="82"/>
      <c r="BD918" s="82"/>
      <c r="BE918" s="82"/>
    </row>
    <row r="919" ht="15.75" customHeight="1" spans="1:57" x14ac:dyDescent="0.25">
      <c r="A919" s="79"/>
      <c r="AN919" s="80"/>
      <c r="AO919" s="81"/>
      <c r="AT919" s="82"/>
      <c r="AU919" s="82"/>
      <c r="AV919" s="82"/>
      <c r="AW919" s="82"/>
      <c r="AX919" s="82"/>
      <c r="AY919" s="82"/>
      <c r="AZ919" s="82"/>
      <c r="BA919" s="82"/>
      <c r="BB919" s="82"/>
      <c r="BC919" s="82"/>
      <c r="BD919" s="82"/>
      <c r="BE919" s="82"/>
    </row>
    <row r="920" ht="15.75" customHeight="1" spans="1:57" x14ac:dyDescent="0.25">
      <c r="A920" s="79"/>
      <c r="AN920" s="80"/>
      <c r="AO920" s="81"/>
      <c r="AT920" s="82"/>
      <c r="AU920" s="82"/>
      <c r="AV920" s="82"/>
      <c r="AW920" s="82"/>
      <c r="AX920" s="82"/>
      <c r="AY920" s="82"/>
      <c r="AZ920" s="82"/>
      <c r="BA920" s="82"/>
      <c r="BB920" s="82"/>
      <c r="BC920" s="82"/>
      <c r="BD920" s="82"/>
      <c r="BE920" s="82"/>
    </row>
    <row r="921" ht="15.75" customHeight="1" spans="1:57" x14ac:dyDescent="0.25">
      <c r="A921" s="79"/>
      <c r="AN921" s="80"/>
      <c r="AO921" s="81"/>
      <c r="AT921" s="82"/>
      <c r="AU921" s="82"/>
      <c r="AV921" s="82"/>
      <c r="AW921" s="82"/>
      <c r="AX921" s="82"/>
      <c r="AY921" s="82"/>
      <c r="AZ921" s="82"/>
      <c r="BA921" s="82"/>
      <c r="BB921" s="82"/>
      <c r="BC921" s="82"/>
      <c r="BD921" s="82"/>
      <c r="BE921" s="82"/>
    </row>
    <row r="922" ht="15.75" customHeight="1" spans="1:57" x14ac:dyDescent="0.25">
      <c r="A922" s="79"/>
      <c r="AN922" s="80"/>
      <c r="AO922" s="81"/>
      <c r="AT922" s="82"/>
      <c r="AU922" s="82"/>
      <c r="AV922" s="82"/>
      <c r="AW922" s="82"/>
      <c r="AX922" s="82"/>
      <c r="AY922" s="82"/>
      <c r="AZ922" s="82"/>
      <c r="BA922" s="82"/>
      <c r="BB922" s="82"/>
      <c r="BC922" s="82"/>
      <c r="BD922" s="82"/>
      <c r="BE922" s="82"/>
    </row>
    <row r="923" ht="15.75" customHeight="1" spans="1:57" x14ac:dyDescent="0.25">
      <c r="A923" s="79"/>
      <c r="AN923" s="80"/>
      <c r="AO923" s="81"/>
      <c r="AT923" s="82"/>
      <c r="AU923" s="82"/>
      <c r="AV923" s="82"/>
      <c r="AW923" s="82"/>
      <c r="AX923" s="82"/>
      <c r="AY923" s="82"/>
      <c r="AZ923" s="82"/>
      <c r="BA923" s="82"/>
      <c r="BB923" s="82"/>
      <c r="BC923" s="82"/>
      <c r="BD923" s="82"/>
      <c r="BE923" s="82"/>
    </row>
    <row r="924" ht="15.75" customHeight="1" spans="1:57" x14ac:dyDescent="0.25">
      <c r="A924" s="79"/>
      <c r="AN924" s="80"/>
      <c r="AO924" s="81"/>
      <c r="AT924" s="82"/>
      <c r="AU924" s="82"/>
      <c r="AV924" s="82"/>
      <c r="AW924" s="82"/>
      <c r="AX924" s="82"/>
      <c r="AY924" s="82"/>
      <c r="AZ924" s="82"/>
      <c r="BA924" s="82"/>
      <c r="BB924" s="82"/>
      <c r="BC924" s="82"/>
      <c r="BD924" s="82"/>
      <c r="BE924" s="82"/>
    </row>
    <row r="925" ht="15.75" customHeight="1" spans="1:57" x14ac:dyDescent="0.25">
      <c r="A925" s="79"/>
      <c r="AN925" s="80"/>
      <c r="AO925" s="81"/>
      <c r="AT925" s="82"/>
      <c r="AU925" s="82"/>
      <c r="AV925" s="82"/>
      <c r="AW925" s="82"/>
      <c r="AX925" s="82"/>
      <c r="AY925" s="82"/>
      <c r="AZ925" s="82"/>
      <c r="BA925" s="82"/>
      <c r="BB925" s="82"/>
      <c r="BC925" s="82"/>
      <c r="BD925" s="82"/>
      <c r="BE925" s="82"/>
    </row>
    <row r="926" ht="15.75" customHeight="1" spans="1:57" x14ac:dyDescent="0.25">
      <c r="A926" s="79"/>
      <c r="AN926" s="80"/>
      <c r="AO926" s="81"/>
      <c r="AT926" s="82"/>
      <c r="AU926" s="82"/>
      <c r="AV926" s="82"/>
      <c r="AW926" s="82"/>
      <c r="AX926" s="82"/>
      <c r="AY926" s="82"/>
      <c r="AZ926" s="82"/>
      <c r="BA926" s="82"/>
      <c r="BB926" s="82"/>
      <c r="BC926" s="82"/>
      <c r="BD926" s="82"/>
      <c r="BE926" s="82"/>
    </row>
    <row r="927" ht="15.75" customHeight="1" spans="1:57" x14ac:dyDescent="0.25">
      <c r="A927" s="79"/>
      <c r="AN927" s="80"/>
      <c r="AO927" s="81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</row>
    <row r="928" ht="15.75" customHeight="1" spans="1:57" x14ac:dyDescent="0.25">
      <c r="A928" s="79"/>
      <c r="AN928" s="80"/>
      <c r="AO928" s="81"/>
      <c r="AT928" s="82"/>
      <c r="AU928" s="82"/>
      <c r="AV928" s="82"/>
      <c r="AW928" s="82"/>
      <c r="AX928" s="82"/>
      <c r="AY928" s="82"/>
      <c r="AZ928" s="82"/>
      <c r="BA928" s="82"/>
      <c r="BB928" s="82"/>
      <c r="BC928" s="82"/>
      <c r="BD928" s="82"/>
      <c r="BE928" s="82"/>
    </row>
    <row r="929" ht="15.75" customHeight="1" spans="1:57" x14ac:dyDescent="0.25">
      <c r="A929" s="79"/>
      <c r="AN929" s="80"/>
      <c r="AO929" s="81"/>
      <c r="AT929" s="82"/>
      <c r="AU929" s="82"/>
      <c r="AV929" s="82"/>
      <c r="AW929" s="82"/>
      <c r="AX929" s="82"/>
      <c r="AY929" s="82"/>
      <c r="AZ929" s="82"/>
      <c r="BA929" s="82"/>
      <c r="BB929" s="82"/>
      <c r="BC929" s="82"/>
      <c r="BD929" s="82"/>
      <c r="BE929" s="82"/>
    </row>
    <row r="930" ht="15.75" customHeight="1" spans="1:57" x14ac:dyDescent="0.25">
      <c r="A930" s="79"/>
      <c r="AN930" s="80"/>
      <c r="AO930" s="81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</row>
    <row r="931" ht="15.75" customHeight="1" spans="1:57" x14ac:dyDescent="0.25">
      <c r="A931" s="79"/>
      <c r="AN931" s="80"/>
      <c r="AO931" s="81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</row>
    <row r="932" ht="15.75" customHeight="1" spans="1:57" x14ac:dyDescent="0.25">
      <c r="A932" s="79"/>
      <c r="AN932" s="80"/>
      <c r="AO932" s="81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</row>
    <row r="933" ht="15.75" customHeight="1" spans="1:57" x14ac:dyDescent="0.25">
      <c r="A933" s="79"/>
      <c r="AN933" s="80"/>
      <c r="AO933" s="81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</row>
    <row r="934" ht="15.75" customHeight="1" spans="1:57" x14ac:dyDescent="0.25">
      <c r="A934" s="79"/>
      <c r="AN934" s="80"/>
      <c r="AO934" s="81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</row>
    <row r="935" ht="15.75" customHeight="1" spans="1:57" x14ac:dyDescent="0.25">
      <c r="A935" s="79"/>
      <c r="AN935" s="80"/>
      <c r="AO935" s="81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</row>
    <row r="936" ht="15.75" customHeight="1" spans="1:57" x14ac:dyDescent="0.25">
      <c r="A936" s="79"/>
      <c r="AN936" s="80"/>
      <c r="AO936" s="81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</row>
    <row r="937" ht="15.75" customHeight="1" spans="1:57" x14ac:dyDescent="0.25">
      <c r="A937" s="79"/>
      <c r="AN937" s="80"/>
      <c r="AO937" s="81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</row>
    <row r="938" ht="15.75" customHeight="1" spans="1:57" x14ac:dyDescent="0.25">
      <c r="A938" s="79"/>
      <c r="AN938" s="80"/>
      <c r="AO938" s="81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</row>
    <row r="939" ht="15.75" customHeight="1" spans="1:57" x14ac:dyDescent="0.25">
      <c r="A939" s="79"/>
      <c r="AN939" s="80"/>
      <c r="AO939" s="81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</row>
    <row r="940" ht="15.75" customHeight="1" spans="1:57" x14ac:dyDescent="0.25">
      <c r="A940" s="79"/>
      <c r="AN940" s="80"/>
      <c r="AO940" s="81"/>
      <c r="AT940" s="82"/>
      <c r="AU940" s="82"/>
      <c r="AV940" s="82"/>
      <c r="AW940" s="82"/>
      <c r="AX940" s="82"/>
      <c r="AY940" s="82"/>
      <c r="AZ940" s="82"/>
      <c r="BA940" s="82"/>
      <c r="BB940" s="82"/>
      <c r="BC940" s="82"/>
      <c r="BD940" s="82"/>
      <c r="BE940" s="82"/>
    </row>
    <row r="941" ht="15.75" customHeight="1" spans="1:57" x14ac:dyDescent="0.25">
      <c r="A941" s="79"/>
      <c r="AN941" s="80"/>
      <c r="AO941" s="81"/>
      <c r="AT941" s="82"/>
      <c r="AU941" s="82"/>
      <c r="AV941" s="82"/>
      <c r="AW941" s="82"/>
      <c r="AX941" s="82"/>
      <c r="AY941" s="82"/>
      <c r="AZ941" s="82"/>
      <c r="BA941" s="82"/>
      <c r="BB941" s="82"/>
      <c r="BC941" s="82"/>
      <c r="BD941" s="82"/>
      <c r="BE941" s="82"/>
    </row>
    <row r="942" ht="15.75" customHeight="1" spans="1:57" x14ac:dyDescent="0.25">
      <c r="A942" s="79"/>
      <c r="AN942" s="80"/>
      <c r="AO942" s="81"/>
      <c r="AT942" s="82"/>
      <c r="AU942" s="82"/>
      <c r="AV942" s="82"/>
      <c r="AW942" s="82"/>
      <c r="AX942" s="82"/>
      <c r="AY942" s="82"/>
      <c r="AZ942" s="82"/>
      <c r="BA942" s="82"/>
      <c r="BB942" s="82"/>
      <c r="BC942" s="82"/>
      <c r="BD942" s="82"/>
      <c r="BE942" s="82"/>
    </row>
    <row r="943" ht="15.75" customHeight="1" spans="1:57" x14ac:dyDescent="0.25">
      <c r="A943" s="79"/>
      <c r="AN943" s="80"/>
      <c r="AO943" s="81"/>
      <c r="AT943" s="82"/>
      <c r="AU943" s="82"/>
      <c r="AV943" s="82"/>
      <c r="AW943" s="82"/>
      <c r="AX943" s="82"/>
      <c r="AY943" s="82"/>
      <c r="AZ943" s="82"/>
      <c r="BA943" s="82"/>
      <c r="BB943" s="82"/>
      <c r="BC943" s="82"/>
      <c r="BD943" s="82"/>
      <c r="BE943" s="82"/>
    </row>
    <row r="944" ht="15.75" customHeight="1" spans="1:57" x14ac:dyDescent="0.25">
      <c r="A944" s="79"/>
      <c r="AN944" s="80"/>
      <c r="AO944" s="81"/>
      <c r="AT944" s="82"/>
      <c r="AU944" s="82"/>
      <c r="AV944" s="82"/>
      <c r="AW944" s="82"/>
      <c r="AX944" s="82"/>
      <c r="AY944" s="82"/>
      <c r="AZ944" s="82"/>
      <c r="BA944" s="82"/>
      <c r="BB944" s="82"/>
      <c r="BC944" s="82"/>
      <c r="BD944" s="82"/>
      <c r="BE944" s="82"/>
    </row>
    <row r="945" ht="15.75" customHeight="1" spans="1:57" x14ac:dyDescent="0.25">
      <c r="A945" s="79"/>
      <c r="AN945" s="80"/>
      <c r="AO945" s="81"/>
      <c r="AT945" s="82"/>
      <c r="AU945" s="82"/>
      <c r="AV945" s="82"/>
      <c r="AW945" s="82"/>
      <c r="AX945" s="82"/>
      <c r="AY945" s="82"/>
      <c r="AZ945" s="82"/>
      <c r="BA945" s="82"/>
      <c r="BB945" s="82"/>
      <c r="BC945" s="82"/>
      <c r="BD945" s="82"/>
      <c r="BE945" s="82"/>
    </row>
    <row r="946" ht="15.75" customHeight="1" spans="1:57" x14ac:dyDescent="0.25">
      <c r="A946" s="79"/>
      <c r="AN946" s="80"/>
      <c r="AO946" s="81"/>
      <c r="AT946" s="82"/>
      <c r="AU946" s="82"/>
      <c r="AV946" s="82"/>
      <c r="AW946" s="82"/>
      <c r="AX946" s="82"/>
      <c r="AY946" s="82"/>
      <c r="AZ946" s="82"/>
      <c r="BA946" s="82"/>
      <c r="BB946" s="82"/>
      <c r="BC946" s="82"/>
      <c r="BD946" s="82"/>
      <c r="BE946" s="82"/>
    </row>
    <row r="947" ht="15.75" customHeight="1" spans="1:57" x14ac:dyDescent="0.25">
      <c r="A947" s="79"/>
      <c r="AN947" s="80"/>
      <c r="AO947" s="81"/>
      <c r="AT947" s="82"/>
      <c r="AU947" s="82"/>
      <c r="AV947" s="82"/>
      <c r="AW947" s="82"/>
      <c r="AX947" s="82"/>
      <c r="AY947" s="82"/>
      <c r="AZ947" s="82"/>
      <c r="BA947" s="82"/>
      <c r="BB947" s="82"/>
      <c r="BC947" s="82"/>
      <c r="BD947" s="82"/>
      <c r="BE947" s="82"/>
    </row>
    <row r="948" ht="15.75" customHeight="1" spans="1:57" x14ac:dyDescent="0.25">
      <c r="A948" s="79"/>
      <c r="AN948" s="80"/>
      <c r="AO948" s="81"/>
      <c r="AT948" s="82"/>
      <c r="AU948" s="82"/>
      <c r="AV948" s="82"/>
      <c r="AW948" s="82"/>
      <c r="AX948" s="82"/>
      <c r="AY948" s="82"/>
      <c r="AZ948" s="82"/>
      <c r="BA948" s="82"/>
      <c r="BB948" s="82"/>
      <c r="BC948" s="82"/>
      <c r="BD948" s="82"/>
      <c r="BE948" s="82"/>
    </row>
    <row r="949" ht="15.75" customHeight="1" spans="1:57" x14ac:dyDescent="0.25">
      <c r="A949" s="79"/>
      <c r="AN949" s="80"/>
      <c r="AO949" s="81"/>
      <c r="AT949" s="82"/>
      <c r="AU949" s="82"/>
      <c r="AV949" s="82"/>
      <c r="AW949" s="82"/>
      <c r="AX949" s="82"/>
      <c r="AY949" s="82"/>
      <c r="AZ949" s="82"/>
      <c r="BA949" s="82"/>
      <c r="BB949" s="82"/>
      <c r="BC949" s="82"/>
      <c r="BD949" s="82"/>
      <c r="BE949" s="82"/>
    </row>
    <row r="950" ht="15.75" customHeight="1" spans="1:57" x14ac:dyDescent="0.25">
      <c r="A950" s="79"/>
      <c r="AN950" s="80"/>
      <c r="AO950" s="81"/>
      <c r="AT950" s="82"/>
      <c r="AU950" s="82"/>
      <c r="AV950" s="82"/>
      <c r="AW950" s="82"/>
      <c r="AX950" s="82"/>
      <c r="AY950" s="82"/>
      <c r="AZ950" s="82"/>
      <c r="BA950" s="82"/>
      <c r="BB950" s="82"/>
      <c r="BC950" s="82"/>
      <c r="BD950" s="82"/>
      <c r="BE950" s="82"/>
    </row>
    <row r="951" ht="15.75" customHeight="1" spans="1:57" x14ac:dyDescent="0.25">
      <c r="A951" s="79"/>
      <c r="AN951" s="80"/>
      <c r="AO951" s="81"/>
      <c r="AT951" s="82"/>
      <c r="AU951" s="82"/>
      <c r="AV951" s="82"/>
      <c r="AW951" s="82"/>
      <c r="AX951" s="82"/>
      <c r="AY951" s="82"/>
      <c r="AZ951" s="82"/>
      <c r="BA951" s="82"/>
      <c r="BB951" s="82"/>
      <c r="BC951" s="82"/>
      <c r="BD951" s="82"/>
      <c r="BE951" s="82"/>
    </row>
    <row r="952" ht="15.75" customHeight="1" spans="1:57" x14ac:dyDescent="0.25">
      <c r="A952" s="79"/>
      <c r="AN952" s="80"/>
      <c r="AO952" s="81"/>
      <c r="AT952" s="82"/>
      <c r="AU952" s="82"/>
      <c r="AV952" s="82"/>
      <c r="AW952" s="82"/>
      <c r="AX952" s="82"/>
      <c r="AY952" s="82"/>
      <c r="AZ952" s="82"/>
      <c r="BA952" s="82"/>
      <c r="BB952" s="82"/>
      <c r="BC952" s="82"/>
      <c r="BD952" s="82"/>
      <c r="BE952" s="82"/>
    </row>
    <row r="953" ht="15.75" customHeight="1" spans="1:57" x14ac:dyDescent="0.25">
      <c r="A953" s="79"/>
      <c r="AN953" s="80"/>
      <c r="AO953" s="81"/>
      <c r="AT953" s="82"/>
      <c r="AU953" s="82"/>
      <c r="AV953" s="82"/>
      <c r="AW953" s="82"/>
      <c r="AX953" s="82"/>
      <c r="AY953" s="82"/>
      <c r="AZ953" s="82"/>
      <c r="BA953" s="82"/>
      <c r="BB953" s="82"/>
      <c r="BC953" s="82"/>
      <c r="BD953" s="82"/>
      <c r="BE953" s="82"/>
    </row>
    <row r="954" ht="15.75" customHeight="1" spans="1:57" x14ac:dyDescent="0.25">
      <c r="A954" s="79"/>
      <c r="AN954" s="80"/>
      <c r="AO954" s="81"/>
      <c r="AT954" s="82"/>
      <c r="AU954" s="82"/>
      <c r="AV954" s="82"/>
      <c r="AW954" s="82"/>
      <c r="AX954" s="82"/>
      <c r="AY954" s="82"/>
      <c r="AZ954" s="82"/>
      <c r="BA954" s="82"/>
      <c r="BB954" s="82"/>
      <c r="BC954" s="82"/>
      <c r="BD954" s="82"/>
      <c r="BE954" s="82"/>
    </row>
    <row r="955" ht="15.75" customHeight="1" spans="1:57" x14ac:dyDescent="0.25">
      <c r="A955" s="79"/>
      <c r="AN955" s="80"/>
      <c r="AO955" s="81"/>
      <c r="AT955" s="82"/>
      <c r="AU955" s="82"/>
      <c r="AV955" s="82"/>
      <c r="AW955" s="82"/>
      <c r="AX955" s="82"/>
      <c r="AY955" s="82"/>
      <c r="AZ955" s="82"/>
      <c r="BA955" s="82"/>
      <c r="BB955" s="82"/>
      <c r="BC955" s="82"/>
      <c r="BD955" s="82"/>
      <c r="BE955" s="82"/>
    </row>
    <row r="956" ht="15.75" customHeight="1" spans="1:57" x14ac:dyDescent="0.25">
      <c r="A956" s="79"/>
      <c r="AN956" s="80"/>
      <c r="AO956" s="81"/>
      <c r="AT956" s="82"/>
      <c r="AU956" s="82"/>
      <c r="AV956" s="82"/>
      <c r="AW956" s="82"/>
      <c r="AX956" s="82"/>
      <c r="AY956" s="82"/>
      <c r="AZ956" s="82"/>
      <c r="BA956" s="82"/>
      <c r="BB956" s="82"/>
      <c r="BC956" s="82"/>
      <c r="BD956" s="82"/>
      <c r="BE956" s="82"/>
    </row>
    <row r="957" ht="15.75" customHeight="1" spans="1:57" x14ac:dyDescent="0.25">
      <c r="A957" s="79"/>
      <c r="AN957" s="80"/>
      <c r="AO957" s="81"/>
      <c r="AT957" s="82"/>
      <c r="AU957" s="82"/>
      <c r="AV957" s="82"/>
      <c r="AW957" s="82"/>
      <c r="AX957" s="82"/>
      <c r="AY957" s="82"/>
      <c r="AZ957" s="82"/>
      <c r="BA957" s="82"/>
      <c r="BB957" s="82"/>
      <c r="BC957" s="82"/>
      <c r="BD957" s="82"/>
      <c r="BE957" s="82"/>
    </row>
    <row r="958" ht="15.75" customHeight="1" spans="1:57" x14ac:dyDescent="0.25">
      <c r="A958" s="79"/>
      <c r="AN958" s="80"/>
      <c r="AO958" s="81"/>
      <c r="AT958" s="82"/>
      <c r="AU958" s="82"/>
      <c r="AV958" s="82"/>
      <c r="AW958" s="82"/>
      <c r="AX958" s="82"/>
      <c r="AY958" s="82"/>
      <c r="AZ958" s="82"/>
      <c r="BA958" s="82"/>
      <c r="BB958" s="82"/>
      <c r="BC958" s="82"/>
      <c r="BD958" s="82"/>
      <c r="BE958" s="82"/>
    </row>
    <row r="959" ht="15.75" customHeight="1" spans="1:57" x14ac:dyDescent="0.25">
      <c r="A959" s="79"/>
      <c r="AN959" s="80"/>
      <c r="AO959" s="81"/>
      <c r="AT959" s="82"/>
      <c r="AU959" s="82"/>
      <c r="AV959" s="82"/>
      <c r="AW959" s="82"/>
      <c r="AX959" s="82"/>
      <c r="AY959" s="82"/>
      <c r="AZ959" s="82"/>
      <c r="BA959" s="82"/>
      <c r="BB959" s="82"/>
      <c r="BC959" s="82"/>
      <c r="BD959" s="82"/>
      <c r="BE959" s="82"/>
    </row>
    <row r="960" ht="15.75" customHeight="1" spans="1:57" x14ac:dyDescent="0.25">
      <c r="A960" s="79"/>
      <c r="AN960" s="80"/>
      <c r="AO960" s="81"/>
      <c r="AT960" s="82"/>
      <c r="AU960" s="82"/>
      <c r="AV960" s="82"/>
      <c r="AW960" s="82"/>
      <c r="AX960" s="82"/>
      <c r="AY960" s="82"/>
      <c r="AZ960" s="82"/>
      <c r="BA960" s="82"/>
      <c r="BB960" s="82"/>
      <c r="BC960" s="82"/>
      <c r="BD960" s="82"/>
      <c r="BE960" s="82"/>
    </row>
    <row r="961" ht="15.75" customHeight="1" spans="1:57" x14ac:dyDescent="0.25">
      <c r="A961" s="79"/>
      <c r="AN961" s="80"/>
      <c r="AO961" s="81"/>
      <c r="AT961" s="82"/>
      <c r="AU961" s="82"/>
      <c r="AV961" s="82"/>
      <c r="AW961" s="82"/>
      <c r="AX961" s="82"/>
      <c r="AY961" s="82"/>
      <c r="AZ961" s="82"/>
      <c r="BA961" s="82"/>
      <c r="BB961" s="82"/>
      <c r="BC961" s="82"/>
      <c r="BD961" s="82"/>
      <c r="BE961" s="82"/>
    </row>
    <row r="962" ht="15.75" customHeight="1" spans="1:57" x14ac:dyDescent="0.25">
      <c r="A962" s="79"/>
      <c r="AN962" s="80"/>
      <c r="AO962" s="81"/>
      <c r="AT962" s="82"/>
      <c r="AU962" s="82"/>
      <c r="AV962" s="82"/>
      <c r="AW962" s="82"/>
      <c r="AX962" s="82"/>
      <c r="AY962" s="82"/>
      <c r="AZ962" s="82"/>
      <c r="BA962" s="82"/>
      <c r="BB962" s="82"/>
      <c r="BC962" s="82"/>
      <c r="BD962" s="82"/>
      <c r="BE962" s="82"/>
    </row>
    <row r="963" ht="15.75" customHeight="1" spans="1:57" x14ac:dyDescent="0.25">
      <c r="A963" s="79"/>
      <c r="AN963" s="80"/>
      <c r="AO963" s="81"/>
      <c r="AT963" s="82"/>
      <c r="AU963" s="82"/>
      <c r="AV963" s="82"/>
      <c r="AW963" s="82"/>
      <c r="AX963" s="82"/>
      <c r="AY963" s="82"/>
      <c r="AZ963" s="82"/>
      <c r="BA963" s="82"/>
      <c r="BB963" s="82"/>
      <c r="BC963" s="82"/>
      <c r="BD963" s="82"/>
      <c r="BE963" s="82"/>
    </row>
    <row r="964" ht="15.75" customHeight="1" spans="1:57" x14ac:dyDescent="0.25">
      <c r="A964" s="79"/>
      <c r="AN964" s="80"/>
      <c r="AO964" s="81"/>
      <c r="AT964" s="82"/>
      <c r="AU964" s="82"/>
      <c r="AV964" s="82"/>
      <c r="AW964" s="82"/>
      <c r="AX964" s="82"/>
      <c r="AY964" s="82"/>
      <c r="AZ964" s="82"/>
      <c r="BA964" s="82"/>
      <c r="BB964" s="82"/>
      <c r="BC964" s="82"/>
      <c r="BD964" s="82"/>
      <c r="BE964" s="82"/>
    </row>
    <row r="965" ht="15.75" customHeight="1" spans="1:57" x14ac:dyDescent="0.25">
      <c r="A965" s="79"/>
      <c r="AN965" s="80"/>
      <c r="AO965" s="81"/>
      <c r="AT965" s="82"/>
      <c r="AU965" s="82"/>
      <c r="AV965" s="82"/>
      <c r="AW965" s="82"/>
      <c r="AX965" s="82"/>
      <c r="AY965" s="82"/>
      <c r="AZ965" s="82"/>
      <c r="BA965" s="82"/>
      <c r="BB965" s="82"/>
      <c r="BC965" s="82"/>
      <c r="BD965" s="82"/>
      <c r="BE965" s="82"/>
    </row>
    <row r="966" ht="15.75" customHeight="1" spans="1:57" x14ac:dyDescent="0.25">
      <c r="A966" s="79"/>
      <c r="AN966" s="80"/>
      <c r="AO966" s="81"/>
      <c r="AT966" s="82"/>
      <c r="AU966" s="82"/>
      <c r="AV966" s="82"/>
      <c r="AW966" s="82"/>
      <c r="AX966" s="82"/>
      <c r="AY966" s="82"/>
      <c r="AZ966" s="82"/>
      <c r="BA966" s="82"/>
      <c r="BB966" s="82"/>
      <c r="BC966" s="82"/>
      <c r="BD966" s="82"/>
      <c r="BE966" s="82"/>
    </row>
    <row r="967" ht="15.75" customHeight="1" spans="1:57" x14ac:dyDescent="0.25">
      <c r="A967" s="79"/>
      <c r="AN967" s="80"/>
      <c r="AO967" s="81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</row>
    <row r="968" ht="15.75" customHeight="1" spans="1:57" x14ac:dyDescent="0.25">
      <c r="A968" s="79"/>
      <c r="AN968" s="80"/>
      <c r="AO968" s="81"/>
      <c r="AT968" s="82"/>
      <c r="AU968" s="82"/>
      <c r="AV968" s="82"/>
      <c r="AW968" s="82"/>
      <c r="AX968" s="82"/>
      <c r="AY968" s="82"/>
      <c r="AZ968" s="82"/>
      <c r="BA968" s="82"/>
      <c r="BB968" s="82"/>
      <c r="BC968" s="82"/>
      <c r="BD968" s="82"/>
      <c r="BE968" s="82"/>
    </row>
    <row r="969" ht="15.75" customHeight="1" spans="1:57" x14ac:dyDescent="0.25">
      <c r="A969" s="79"/>
      <c r="AN969" s="80"/>
      <c r="AO969" s="81"/>
      <c r="AT969" s="82"/>
      <c r="AU969" s="82"/>
      <c r="AV969" s="82"/>
      <c r="AW969" s="82"/>
      <c r="AX969" s="82"/>
      <c r="AY969" s="82"/>
      <c r="AZ969" s="82"/>
      <c r="BA969" s="82"/>
      <c r="BB969" s="82"/>
      <c r="BC969" s="82"/>
      <c r="BD969" s="82"/>
      <c r="BE969" s="82"/>
    </row>
    <row r="970" ht="15.75" customHeight="1" spans="1:57" x14ac:dyDescent="0.25">
      <c r="A970" s="79"/>
      <c r="AN970" s="80"/>
      <c r="AO970" s="81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</row>
    <row r="971" ht="15.75" customHeight="1" spans="1:57" x14ac:dyDescent="0.25">
      <c r="A971" s="79"/>
      <c r="AN971" s="80"/>
      <c r="AO971" s="81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</row>
    <row r="972" ht="15.75" customHeight="1" spans="1:57" x14ac:dyDescent="0.25">
      <c r="A972" s="79"/>
      <c r="AN972" s="80"/>
      <c r="AO972" s="81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</row>
    <row r="973" ht="15.75" customHeight="1" spans="1:57" x14ac:dyDescent="0.25">
      <c r="A973" s="79"/>
      <c r="AN973" s="80"/>
      <c r="AO973" s="81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</row>
    <row r="974" ht="15.75" customHeight="1" spans="1:57" x14ac:dyDescent="0.25">
      <c r="A974" s="79"/>
      <c r="AN974" s="80"/>
      <c r="AO974" s="81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</row>
    <row r="975" ht="15.75" customHeight="1" spans="1:57" x14ac:dyDescent="0.25">
      <c r="A975" s="79"/>
      <c r="AN975" s="80"/>
      <c r="AO975" s="81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</row>
    <row r="976" ht="15.75" customHeight="1" spans="1:57" x14ac:dyDescent="0.25">
      <c r="A976" s="79"/>
      <c r="AN976" s="80"/>
      <c r="AO976" s="81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</row>
    <row r="977" ht="15.75" customHeight="1" spans="1:57" x14ac:dyDescent="0.25">
      <c r="A977" s="79"/>
      <c r="AN977" s="80"/>
      <c r="AO977" s="81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</row>
    <row r="978" ht="15.75" customHeight="1" spans="1:57" x14ac:dyDescent="0.25">
      <c r="A978" s="79"/>
      <c r="AN978" s="80"/>
      <c r="AO978" s="81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</row>
    <row r="979" ht="15.75" customHeight="1" spans="1:57" x14ac:dyDescent="0.25">
      <c r="A979" s="79"/>
      <c r="AN979" s="80"/>
      <c r="AO979" s="81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</row>
    <row r="980" ht="15.75" customHeight="1" spans="1:57" x14ac:dyDescent="0.25">
      <c r="A980" s="79"/>
      <c r="AN980" s="80"/>
      <c r="AO980" s="81"/>
      <c r="AT980" s="82"/>
      <c r="AU980" s="82"/>
      <c r="AV980" s="82"/>
      <c r="AW980" s="82"/>
      <c r="AX980" s="82"/>
      <c r="AY980" s="82"/>
      <c r="AZ980" s="82"/>
      <c r="BA980" s="82"/>
      <c r="BB980" s="82"/>
      <c r="BC980" s="82"/>
      <c r="BD980" s="82"/>
      <c r="BE980" s="82"/>
    </row>
    <row r="981" ht="15.75" customHeight="1" spans="1:57" x14ac:dyDescent="0.25">
      <c r="A981" s="79"/>
      <c r="AN981" s="80"/>
      <c r="AO981" s="81"/>
      <c r="AT981" s="82"/>
      <c r="AU981" s="82"/>
      <c r="AV981" s="82"/>
      <c r="AW981" s="82"/>
      <c r="AX981" s="82"/>
      <c r="AY981" s="82"/>
      <c r="AZ981" s="82"/>
      <c r="BA981" s="82"/>
      <c r="BB981" s="82"/>
      <c r="BC981" s="82"/>
      <c r="BD981" s="82"/>
      <c r="BE981" s="82"/>
    </row>
    <row r="982" ht="15.75" customHeight="1" spans="1:57" x14ac:dyDescent="0.25">
      <c r="A982" s="79"/>
      <c r="AN982" s="80"/>
      <c r="AO982" s="81"/>
      <c r="AT982" s="82"/>
      <c r="AU982" s="82"/>
      <c r="AV982" s="82"/>
      <c r="AW982" s="82"/>
      <c r="AX982" s="82"/>
      <c r="AY982" s="82"/>
      <c r="AZ982" s="82"/>
      <c r="BA982" s="82"/>
      <c r="BB982" s="82"/>
      <c r="BC982" s="82"/>
      <c r="BD982" s="82"/>
      <c r="BE982" s="82"/>
    </row>
    <row r="983" ht="15.75" customHeight="1" spans="1:57" x14ac:dyDescent="0.25">
      <c r="A983" s="79"/>
      <c r="AN983" s="80"/>
      <c r="AO983" s="81"/>
      <c r="AT983" s="82"/>
      <c r="AU983" s="82"/>
      <c r="AV983" s="82"/>
      <c r="AW983" s="82"/>
      <c r="AX983" s="82"/>
      <c r="AY983" s="82"/>
      <c r="AZ983" s="82"/>
      <c r="BA983" s="82"/>
      <c r="BB983" s="82"/>
      <c r="BC983" s="82"/>
      <c r="BD983" s="82"/>
      <c r="BE983" s="82"/>
    </row>
    <row r="984" ht="15.75" customHeight="1" spans="1:57" x14ac:dyDescent="0.25">
      <c r="A984" s="79"/>
      <c r="AN984" s="80"/>
      <c r="AO984" s="81"/>
      <c r="AT984" s="82"/>
      <c r="AU984" s="82"/>
      <c r="AV984" s="82"/>
      <c r="AW984" s="82"/>
      <c r="AX984" s="82"/>
      <c r="AY984" s="82"/>
      <c r="AZ984" s="82"/>
      <c r="BA984" s="82"/>
      <c r="BB984" s="82"/>
      <c r="BC984" s="82"/>
      <c r="BD984" s="82"/>
      <c r="BE984" s="82"/>
    </row>
    <row r="985" ht="15.75" customHeight="1" spans="1:57" x14ac:dyDescent="0.25">
      <c r="A985" s="79"/>
      <c r="AN985" s="80"/>
      <c r="AO985" s="81"/>
      <c r="AT985" s="82"/>
      <c r="AU985" s="82"/>
      <c r="AV985" s="82"/>
      <c r="AW985" s="82"/>
      <c r="AX985" s="82"/>
      <c r="AY985" s="82"/>
      <c r="AZ985" s="82"/>
      <c r="BA985" s="82"/>
      <c r="BB985" s="82"/>
      <c r="BC985" s="82"/>
      <c r="BD985" s="82"/>
      <c r="BE985" s="82"/>
    </row>
    <row r="986" ht="15.75" customHeight="1" spans="1:57" x14ac:dyDescent="0.25">
      <c r="A986" s="79"/>
      <c r="AN986" s="80"/>
      <c r="AO986" s="81"/>
      <c r="AT986" s="82"/>
      <c r="AU986" s="82"/>
      <c r="AV986" s="82"/>
      <c r="AW986" s="82"/>
      <c r="AX986" s="82"/>
      <c r="AY986" s="82"/>
      <c r="AZ986" s="82"/>
      <c r="BA986" s="82"/>
      <c r="BB986" s="82"/>
      <c r="BC986" s="82"/>
      <c r="BD986" s="82"/>
      <c r="BE986" s="82"/>
    </row>
    <row r="987" ht="15.75" customHeight="1" spans="1:57" x14ac:dyDescent="0.25">
      <c r="A987" s="79"/>
      <c r="AN987" s="80"/>
      <c r="AO987" s="81"/>
      <c r="AT987" s="82"/>
      <c r="AU987" s="82"/>
      <c r="AV987" s="82"/>
      <c r="AW987" s="82"/>
      <c r="AX987" s="82"/>
      <c r="AY987" s="82"/>
      <c r="AZ987" s="82"/>
      <c r="BA987" s="82"/>
      <c r="BB987" s="82"/>
      <c r="BC987" s="82"/>
      <c r="BD987" s="82"/>
      <c r="BE987" s="82"/>
    </row>
    <row r="988" ht="15.75" customHeight="1" spans="1:57" x14ac:dyDescent="0.25">
      <c r="A988" s="79"/>
      <c r="AN988" s="80"/>
      <c r="AO988" s="81"/>
      <c r="AT988" s="82"/>
      <c r="AU988" s="82"/>
      <c r="AV988" s="82"/>
      <c r="AW988" s="82"/>
      <c r="AX988" s="82"/>
      <c r="AY988" s="82"/>
      <c r="AZ988" s="82"/>
      <c r="BA988" s="82"/>
      <c r="BB988" s="82"/>
      <c r="BC988" s="82"/>
      <c r="BD988" s="82"/>
      <c r="BE988" s="82"/>
    </row>
    <row r="989" ht="15.75" customHeight="1" spans="1:57" x14ac:dyDescent="0.25">
      <c r="A989" s="79"/>
      <c r="AN989" s="80"/>
      <c r="AO989" s="81"/>
      <c r="AT989" s="82"/>
      <c r="AU989" s="82"/>
      <c r="AV989" s="82"/>
      <c r="AW989" s="82"/>
      <c r="AX989" s="82"/>
      <c r="AY989" s="82"/>
      <c r="AZ989" s="82"/>
      <c r="BA989" s="82"/>
      <c r="BB989" s="82"/>
      <c r="BC989" s="82"/>
      <c r="BD989" s="82"/>
      <c r="BE989" s="82"/>
    </row>
    <row r="990" ht="15.75" customHeight="1" spans="1:57" x14ac:dyDescent="0.25">
      <c r="A990" s="79"/>
      <c r="AN990" s="80"/>
      <c r="AO990" s="81"/>
      <c r="AT990" s="82"/>
      <c r="AU990" s="82"/>
      <c r="AV990" s="82"/>
      <c r="AW990" s="82"/>
      <c r="AX990" s="82"/>
      <c r="AY990" s="82"/>
      <c r="AZ990" s="82"/>
      <c r="BA990" s="82"/>
      <c r="BB990" s="82"/>
      <c r="BC990" s="82"/>
      <c r="BD990" s="82"/>
      <c r="BE990" s="82"/>
    </row>
    <row r="991" ht="15.75" customHeight="1" spans="1:57" x14ac:dyDescent="0.25">
      <c r="A991" s="79"/>
      <c r="AN991" s="80"/>
      <c r="AO991" s="81"/>
      <c r="AT991" s="82"/>
      <c r="AU991" s="82"/>
      <c r="AV991" s="82"/>
      <c r="AW991" s="82"/>
      <c r="AX991" s="82"/>
      <c r="AY991" s="82"/>
      <c r="AZ991" s="82"/>
      <c r="BA991" s="82"/>
      <c r="BB991" s="82"/>
      <c r="BC991" s="82"/>
      <c r="BD991" s="82"/>
      <c r="BE991" s="82"/>
    </row>
    <row r="992" ht="15.75" customHeight="1" spans="1:57" x14ac:dyDescent="0.25">
      <c r="A992" s="79"/>
      <c r="AN992" s="80"/>
      <c r="AO992" s="81"/>
      <c r="AT992" s="82"/>
      <c r="AU992" s="82"/>
      <c r="AV992" s="82"/>
      <c r="AW992" s="82"/>
      <c r="AX992" s="82"/>
      <c r="AY992" s="82"/>
      <c r="AZ992" s="82"/>
      <c r="BA992" s="82"/>
      <c r="BB992" s="82"/>
      <c r="BC992" s="82"/>
      <c r="BD992" s="82"/>
      <c r="BE992" s="82"/>
    </row>
    <row r="993" ht="15.75" customHeight="1" spans="1:57" x14ac:dyDescent="0.25">
      <c r="A993" s="79"/>
      <c r="AN993" s="80"/>
      <c r="AO993" s="81"/>
      <c r="AT993" s="82"/>
      <c r="AU993" s="82"/>
      <c r="AV993" s="82"/>
      <c r="AW993" s="82"/>
      <c r="AX993" s="82"/>
      <c r="AY993" s="82"/>
      <c r="AZ993" s="82"/>
      <c r="BA993" s="82"/>
      <c r="BB993" s="82"/>
      <c r="BC993" s="82"/>
      <c r="BD993" s="82"/>
      <c r="BE993" s="82"/>
    </row>
    <row r="994" ht="15.75" customHeight="1" spans="1:57" x14ac:dyDescent="0.25">
      <c r="A994" s="79"/>
      <c r="AN994" s="80"/>
      <c r="AO994" s="81"/>
      <c r="AT994" s="82"/>
      <c r="AU994" s="82"/>
      <c r="AV994" s="82"/>
      <c r="AW994" s="82"/>
      <c r="AX994" s="82"/>
      <c r="AY994" s="82"/>
      <c r="AZ994" s="82"/>
      <c r="BA994" s="82"/>
      <c r="BB994" s="82"/>
      <c r="BC994" s="82"/>
      <c r="BD994" s="82"/>
      <c r="BE994" s="82"/>
    </row>
    <row r="995" ht="15.75" customHeight="1" spans="1:57" x14ac:dyDescent="0.25">
      <c r="A995" s="79"/>
      <c r="AN995" s="80"/>
      <c r="AO995" s="81"/>
      <c r="AT995" s="82"/>
      <c r="AU995" s="82"/>
      <c r="AV995" s="82"/>
      <c r="AW995" s="82"/>
      <c r="AX995" s="82"/>
      <c r="AY995" s="82"/>
      <c r="AZ995" s="82"/>
      <c r="BA995" s="82"/>
      <c r="BB995" s="82"/>
      <c r="BC995" s="82"/>
      <c r="BD995" s="82"/>
      <c r="BE995" s="82"/>
    </row>
    <row r="996" ht="15.75" customHeight="1" spans="1:57" x14ac:dyDescent="0.25">
      <c r="A996" s="79"/>
      <c r="AN996" s="80"/>
      <c r="AO996" s="81"/>
      <c r="AT996" s="82"/>
      <c r="AU996" s="82"/>
      <c r="AV996" s="82"/>
      <c r="AW996" s="82"/>
      <c r="AX996" s="82"/>
      <c r="AY996" s="82"/>
      <c r="AZ996" s="82"/>
      <c r="BA996" s="82"/>
      <c r="BB996" s="82"/>
      <c r="BC996" s="82"/>
      <c r="BD996" s="82"/>
      <c r="BE996" s="82"/>
    </row>
    <row r="997" ht="15.75" customHeight="1" spans="1:57" x14ac:dyDescent="0.25">
      <c r="A997" s="79"/>
      <c r="AN997" s="80"/>
      <c r="AO997" s="81"/>
      <c r="AT997" s="82"/>
      <c r="AU997" s="82"/>
      <c r="AV997" s="82"/>
      <c r="AW997" s="82"/>
      <c r="AX997" s="82"/>
      <c r="AY997" s="82"/>
      <c r="AZ997" s="82"/>
      <c r="BA997" s="82"/>
      <c r="BB997" s="82"/>
      <c r="BC997" s="82"/>
      <c r="BD997" s="82"/>
      <c r="BE997" s="82"/>
    </row>
    <row r="998" ht="15.75" customHeight="1" spans="1:57" x14ac:dyDescent="0.25">
      <c r="A998" s="79"/>
      <c r="AN998" s="80"/>
      <c r="AO998" s="81"/>
      <c r="AT998" s="82"/>
      <c r="AU998" s="82"/>
      <c r="AV998" s="82"/>
      <c r="AW998" s="82"/>
      <c r="AX998" s="82"/>
      <c r="AY998" s="82"/>
      <c r="AZ998" s="82"/>
      <c r="BA998" s="82"/>
      <c r="BB998" s="82"/>
      <c r="BC998" s="82"/>
      <c r="BD998" s="82"/>
      <c r="BE998" s="82"/>
    </row>
    <row r="999" ht="15.75" customHeight="1" spans="1:57" x14ac:dyDescent="0.25">
      <c r="A999" s="79"/>
      <c r="AN999" s="80"/>
      <c r="AO999" s="81"/>
      <c r="AT999" s="82"/>
      <c r="AU999" s="82"/>
      <c r="AV999" s="82"/>
      <c r="AW999" s="82"/>
      <c r="AX999" s="82"/>
      <c r="AY999" s="82"/>
      <c r="AZ999" s="82"/>
      <c r="BA999" s="82"/>
      <c r="BB999" s="82"/>
      <c r="BC999" s="82"/>
      <c r="BD999" s="82"/>
      <c r="BE999" s="82"/>
    </row>
    <row r="1000" ht="15.75" customHeight="1" spans="1:57" x14ac:dyDescent="0.25">
      <c r="A1000" s="79"/>
      <c r="AN1000" s="80"/>
      <c r="AO1000" s="81"/>
      <c r="AT1000" s="82"/>
      <c r="AU1000" s="82"/>
      <c r="AV1000" s="82"/>
      <c r="AW1000" s="82"/>
      <c r="AX1000" s="82"/>
      <c r="AY1000" s="82"/>
      <c r="AZ1000" s="82"/>
      <c r="BA1000" s="82"/>
      <c r="BB1000" s="82"/>
      <c r="BC1000" s="82"/>
      <c r="BD1000" s="82"/>
      <c r="BE1000" s="82"/>
    </row>
  </sheetData>
  <mergeCells count="12">
    <mergeCell ref="W2:AA2"/>
    <mergeCell ref="W3:AA3"/>
    <mergeCell ref="A4:B4"/>
    <mergeCell ref="X4:Z4"/>
    <mergeCell ref="AC4:AC5"/>
    <mergeCell ref="AD4:AD5"/>
    <mergeCell ref="AE4:AE5"/>
    <mergeCell ref="AF4:AF5"/>
    <mergeCell ref="AG4:AG5"/>
    <mergeCell ref="AM4:AM5"/>
    <mergeCell ref="AN4:AN5"/>
    <mergeCell ref="AO4:AO5"/>
  </mergeCells>
  <dataValidations count="18">
    <dataValidation type="list" allowBlank="1" showErrorMessage="1" sqref="AH10:AH48">
      <formula1>'CODART PRODUCTO'!$B$2:$B$327</formula1>
      <formula2>0</formula2>
    </dataValidation>
    <dataValidation type="list" allowBlank="1" showErrorMessage="1" sqref="AH6">
      <formula1>INQUIRY!$BF$4:$NS$4</formula1>
      <formula2>0</formula2>
    </dataValidation>
    <dataValidation type="list" allowBlank="1" showErrorMessage="1" sqref="AH7:AH48">
      <formula1>'CODART PRODUCTO'!$B$2:$B$327</formula1>
      <formula2>0</formula2>
    </dataValidation>
    <dataValidation type="list" allowBlank="1" showErrorMessage="1" sqref="AI10:AI48">
      <formula1>'CODART ORIGEN'!$B$2:$B$30</formula1>
      <formula2>0</formula2>
    </dataValidation>
    <dataValidation type="list" allowBlank="1" showErrorMessage="1" sqref="AI6">
      <formula1>INQUIRY!$BF$5:$CS$5</formula1>
      <formula2>0</formula2>
    </dataValidation>
    <dataValidation type="list" allowBlank="1" showErrorMessage="1" sqref="AI7:AI48">
      <formula1>'CODART ORIGEN'!$B$2:$B$30</formula1>
      <formula2>0</formula2>
    </dataValidation>
    <dataValidation type="list" allowBlank="1" showErrorMessage="1" sqref="B10:B48">
      <formula1>'CODART RESPONSABLE'!$B$2:$B$13</formula1>
      <formula2>0</formula2>
    </dataValidation>
    <dataValidation type="list" allowBlank="1" showErrorMessage="1" sqref="B6">
      <formula1>INQUIRY!$BF$1:$BO$1</formula1>
      <formula2>0</formula2>
    </dataValidation>
    <dataValidation type="list" allowBlank="1" showErrorMessage="1" sqref="B7:B48">
      <formula1>'CODART RESPONSABLE'!$B$2:$B$13</formula1>
      <formula2>0</formula2>
    </dataValidation>
    <dataValidation type="list" allowBlank="1" showErrorMessage="1" sqref="M10:M48">
      <formula1>CERTIFICACIONES!$A$1:$A$6</formula1>
      <formula2>0</formula2>
    </dataValidation>
    <dataValidation type="list" allowBlank="1" showErrorMessage="1" sqref="M6">
      <formula1>INQUIRY!$CV$5:$DA$5</formula1>
      <formula2>0</formula2>
    </dataValidation>
    <dataValidation type="list" allowBlank="1" showErrorMessage="1" sqref="M7:M48">
      <formula1>CERTIFICACIONES!$A$1:$A$6</formula1>
      <formula2>0</formula2>
    </dataValidation>
    <dataValidation type="list" allowBlank="1" showErrorMessage="1" sqref="O10:O48">
      <formula1>PRINT!$A$1:$A$13</formula1>
      <formula2>0</formula2>
    </dataValidation>
    <dataValidation type="list" allowBlank="1" showErrorMessage="1" sqref="O6">
      <formula1>INQUIRY!$BF$2:$BS$2</formula1>
      <formula2>0</formula2>
    </dataValidation>
    <dataValidation type="list" allowBlank="1" showErrorMessage="1" sqref="O7:O48">
      <formula1>PRINT!$A$1:$A$13</formula1>
      <formula2>0</formula2>
    </dataValidation>
    <dataValidation type="list" allowBlank="1" showErrorMessage="1" sqref="T10:T48">
      <formula1>INCOTERM!$A$1:$A$13</formula1>
      <formula2>0</formula2>
    </dataValidation>
    <dataValidation type="list" allowBlank="1" showErrorMessage="1" sqref="T6">
      <formula1>INQUIRY!$BF$3:$BR$3</formula1>
      <formula2>0</formula2>
    </dataValidation>
    <dataValidation type="list" allowBlank="1" showErrorMessage="1" sqref="T7:T48">
      <formula1>INCOTERM!$A$1:$A$13</formula1>
      <formula2>0</formula2>
    </dataValidation>
  </dataValidations>
  <pageMargins left="0.7" right="0.7" top="0.75" bottom="0.75" header="0.511805555555555" footer="0.511805555555555"/>
  <pageSetup paperSize="1" orientation="landscape" horizontalDpi="300" verticalDpi="300" scale="100" fitToWidth="1" fitToHeight="1" firstPageNumber="0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025" width="11.2" customWidth="1"/>
  </cols>
  <sheetData>
    <row r="1" ht="15" customHeight="1" spans="1:1" x14ac:dyDescent="0.25">
      <c r="A1" s="83" t="s">
        <v>9</v>
      </c>
    </row>
    <row r="2" ht="15" customHeight="1" spans="1:1" x14ac:dyDescent="0.25">
      <c r="A2" s="83" t="s">
        <v>10</v>
      </c>
    </row>
    <row r="3" ht="15" customHeight="1" spans="1:1" x14ac:dyDescent="0.25">
      <c r="A3" s="83" t="s">
        <v>11</v>
      </c>
    </row>
    <row r="4" ht="15" customHeight="1" spans="1:1" x14ac:dyDescent="0.25">
      <c r="A4" s="83" t="s">
        <v>12</v>
      </c>
    </row>
    <row r="5" ht="15" customHeight="1" spans="1:1" x14ac:dyDescent="0.25">
      <c r="A5" s="83" t="s">
        <v>13</v>
      </c>
    </row>
    <row r="6" ht="15" customHeight="1" spans="1:1" x14ac:dyDescent="0.25">
      <c r="A6" s="83" t="s">
        <v>14</v>
      </c>
    </row>
    <row r="7" ht="15" customHeight="1" spans="1:1" x14ac:dyDescent="0.25">
      <c r="A7" s="83" t="s">
        <v>15</v>
      </c>
    </row>
    <row r="8" ht="15" customHeight="1" spans="1:1" x14ac:dyDescent="0.25">
      <c r="A8" s="83" t="s">
        <v>16</v>
      </c>
    </row>
    <row r="9" ht="15" customHeight="1" spans="1:1" x14ac:dyDescent="0.25">
      <c r="A9" s="83" t="s">
        <v>17</v>
      </c>
    </row>
    <row r="10" ht="15" customHeight="1" spans="1:1" x14ac:dyDescent="0.25">
      <c r="A10" s="83" t="s">
        <v>18</v>
      </c>
    </row>
    <row r="11" ht="15" customHeight="1" spans="1:1" x14ac:dyDescent="0.25">
      <c r="A11" s="83" t="s">
        <v>19</v>
      </c>
    </row>
    <row r="12" ht="15" customHeight="1" spans="1:1" x14ac:dyDescent="0.25">
      <c r="A12" s="83" t="s">
        <v>20</v>
      </c>
    </row>
    <row r="13" ht="15" customHeight="1" spans="1:1" x14ac:dyDescent="0.25">
      <c r="A13" s="83" t="s">
        <v>21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025" width="11.2" customWidth="1"/>
  </cols>
  <sheetData>
    <row r="1" ht="15" customHeight="1" spans="1:1" x14ac:dyDescent="0.25">
      <c r="A1" s="83" t="s">
        <v>290</v>
      </c>
    </row>
    <row r="2" ht="15" customHeight="1" spans="1:1" x14ac:dyDescent="0.25">
      <c r="A2" s="83" t="s">
        <v>291</v>
      </c>
    </row>
    <row r="3" ht="15" customHeight="1" spans="1:1" x14ac:dyDescent="0.25">
      <c r="A3" s="83" t="s">
        <v>292</v>
      </c>
    </row>
    <row r="4" ht="15" customHeight="1" spans="1:1" x14ac:dyDescent="0.25">
      <c r="A4" s="83" t="s">
        <v>293</v>
      </c>
    </row>
    <row r="5" ht="15" customHeight="1" spans="1:1" x14ac:dyDescent="0.25">
      <c r="A5" s="83" t="s">
        <v>20</v>
      </c>
    </row>
    <row r="6" ht="15" customHeight="1" spans="1:1" x14ac:dyDescent="0.25">
      <c r="A6" s="83" t="s">
        <v>294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7" customWidth="1"/>
    <col min="2" max="1025" width="11.2" customWidth="1"/>
  </cols>
  <sheetData>
    <row r="1" ht="15" customHeight="1" spans="1:1" x14ac:dyDescent="0.25">
      <c r="A1" s="83" t="s">
        <v>23</v>
      </c>
    </row>
    <row r="2" ht="15" customHeight="1" spans="1:1" x14ac:dyDescent="0.25">
      <c r="A2" s="83" t="s">
        <v>24</v>
      </c>
    </row>
    <row r="3" ht="15" customHeight="1" spans="1:1" x14ac:dyDescent="0.25">
      <c r="A3" s="83" t="s">
        <v>25</v>
      </c>
    </row>
    <row r="4" ht="15" customHeight="1" spans="1:1" x14ac:dyDescent="0.25">
      <c r="A4" s="83" t="s">
        <v>26</v>
      </c>
    </row>
    <row r="5" ht="15" customHeight="1" spans="1:1" x14ac:dyDescent="0.25">
      <c r="A5" s="83" t="s">
        <v>27</v>
      </c>
    </row>
    <row r="6" ht="15" customHeight="1" spans="1:1" x14ac:dyDescent="0.25">
      <c r="A6" s="83" t="s">
        <v>28</v>
      </c>
    </row>
    <row r="7" ht="15" customHeight="1" spans="1:1" x14ac:dyDescent="0.25">
      <c r="A7" s="83" t="s">
        <v>29</v>
      </c>
    </row>
    <row r="8" ht="15" customHeight="1" spans="1:1" x14ac:dyDescent="0.25">
      <c r="A8" s="83" t="s">
        <v>30</v>
      </c>
    </row>
    <row r="9" ht="15" customHeight="1" spans="1:1" x14ac:dyDescent="0.25">
      <c r="A9" s="83" t="s">
        <v>31</v>
      </c>
    </row>
    <row r="10" ht="15" customHeight="1" spans="1:1" x14ac:dyDescent="0.25">
      <c r="A10" s="83" t="s">
        <v>32</v>
      </c>
    </row>
    <row r="11" ht="15" customHeight="1" spans="1:1" x14ac:dyDescent="0.25">
      <c r="A11" s="83" t="s">
        <v>33</v>
      </c>
    </row>
    <row r="12" ht="15" customHeight="1" spans="1:1" x14ac:dyDescent="0.25">
      <c r="A12" s="83" t="s">
        <v>34</v>
      </c>
    </row>
    <row r="13" ht="15" customHeight="1" spans="1:1" x14ac:dyDescent="0.25">
      <c r="A13" s="83" t="s">
        <v>35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7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1.2" customWidth="1"/>
    <col min="2" max="2" width="38.33" customWidth="1"/>
    <col min="3" max="3" width="15.89" customWidth="1"/>
    <col min="4" max="1025" width="11.2" customWidth="1"/>
  </cols>
  <sheetData>
    <row r="1" ht="15" customHeight="1" spans="1:26" x14ac:dyDescent="0.25">
      <c r="A1" s="84" t="s">
        <v>315</v>
      </c>
      <c r="B1" s="85" t="s">
        <v>251</v>
      </c>
      <c r="C1" s="86" t="s">
        <v>316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" customHeight="1" spans="1:26" x14ac:dyDescent="0.25">
      <c r="A2" s="87">
        <v>1</v>
      </c>
      <c r="B2" s="88" t="s">
        <v>46</v>
      </c>
      <c r="C2" s="89" t="s">
        <v>317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" customHeight="1" spans="1:26" x14ac:dyDescent="0.25">
      <c r="A3" s="87">
        <v>2</v>
      </c>
      <c r="B3" s="88" t="s">
        <v>47</v>
      </c>
      <c r="C3" s="89" t="s">
        <v>318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" customHeight="1" spans="1:26" x14ac:dyDescent="0.25">
      <c r="A4" s="87">
        <v>3</v>
      </c>
      <c r="B4" s="88" t="s">
        <v>48</v>
      </c>
      <c r="C4" s="89" t="s">
        <v>319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" customHeight="1" spans="1:26" x14ac:dyDescent="0.25">
      <c r="A5" s="87">
        <v>4</v>
      </c>
      <c r="B5" s="88" t="s">
        <v>49</v>
      </c>
      <c r="C5" s="89" t="s">
        <v>320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" customHeight="1" spans="1:26" x14ac:dyDescent="0.25">
      <c r="A6" s="87">
        <v>5</v>
      </c>
      <c r="B6" s="88" t="s">
        <v>50</v>
      </c>
      <c r="C6" s="89" t="s">
        <v>321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" customHeight="1" spans="1:26" x14ac:dyDescent="0.25">
      <c r="A7" s="87">
        <v>6</v>
      </c>
      <c r="B7" s="88" t="s">
        <v>51</v>
      </c>
      <c r="C7" s="89" t="s">
        <v>322</v>
      </c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" customHeight="1" spans="1:26" x14ac:dyDescent="0.25">
      <c r="A8" s="87">
        <v>7</v>
      </c>
      <c r="B8" s="88" t="s">
        <v>52</v>
      </c>
      <c r="C8" s="89" t="s">
        <v>323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" customHeight="1" spans="1:26" x14ac:dyDescent="0.25">
      <c r="A9" s="87">
        <v>8</v>
      </c>
      <c r="B9" s="88" t="s">
        <v>53</v>
      </c>
      <c r="C9" s="89" t="s">
        <v>324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" customHeight="1" spans="1:26" x14ac:dyDescent="0.25">
      <c r="A10" s="87">
        <v>9</v>
      </c>
      <c r="B10" s="88" t="s">
        <v>54</v>
      </c>
      <c r="C10" s="89" t="s">
        <v>325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" customHeight="1" spans="1:26" x14ac:dyDescent="0.25">
      <c r="A11" s="87">
        <v>10</v>
      </c>
      <c r="B11" s="88" t="s">
        <v>55</v>
      </c>
      <c r="C11" s="89" t="s">
        <v>326</v>
      </c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" customHeight="1" spans="1:26" x14ac:dyDescent="0.25">
      <c r="A12" s="87">
        <v>11</v>
      </c>
      <c r="B12" s="88" t="s">
        <v>56</v>
      </c>
      <c r="C12" s="89" t="s">
        <v>327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" customHeight="1" spans="1:26" x14ac:dyDescent="0.25">
      <c r="A13" s="87">
        <v>12</v>
      </c>
      <c r="B13" s="90" t="s">
        <v>57</v>
      </c>
      <c r="C13" s="89" t="s">
        <v>328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" customHeight="1" spans="1:26" x14ac:dyDescent="0.25">
      <c r="A14" s="87">
        <v>13</v>
      </c>
      <c r="B14" s="88" t="s">
        <v>58</v>
      </c>
      <c r="C14" s="89" t="s">
        <v>329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" customHeight="1" spans="1:26" x14ac:dyDescent="0.25">
      <c r="A15" s="87">
        <v>14</v>
      </c>
      <c r="B15" s="90" t="s">
        <v>59</v>
      </c>
      <c r="C15" s="89" t="s">
        <v>330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" customHeight="1" spans="1:26" x14ac:dyDescent="0.25">
      <c r="A16" s="87">
        <v>15</v>
      </c>
      <c r="B16" s="91" t="s">
        <v>60</v>
      </c>
      <c r="C16" s="89" t="s">
        <v>331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" customHeight="1" spans="1:26" x14ac:dyDescent="0.25">
      <c r="A17" s="87">
        <v>16</v>
      </c>
      <c r="B17" s="91" t="s">
        <v>61</v>
      </c>
      <c r="C17" s="89" t="s">
        <v>332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" customHeight="1" spans="1:26" x14ac:dyDescent="0.25">
      <c r="A18" s="87">
        <v>17</v>
      </c>
      <c r="B18" s="90" t="s">
        <v>62</v>
      </c>
      <c r="C18" s="89" t="s">
        <v>333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" customHeight="1" spans="1:26" x14ac:dyDescent="0.25">
      <c r="A19" s="87">
        <v>18</v>
      </c>
      <c r="B19" s="90" t="s">
        <v>63</v>
      </c>
      <c r="C19" s="89" t="s">
        <v>334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" customHeight="1" spans="1:26" x14ac:dyDescent="0.25">
      <c r="A20" s="87">
        <v>19</v>
      </c>
      <c r="B20" s="88" t="s">
        <v>64</v>
      </c>
      <c r="C20" s="89" t="s">
        <v>335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" customHeight="1" spans="1:26" x14ac:dyDescent="0.25">
      <c r="A21" s="87">
        <v>20</v>
      </c>
      <c r="B21" s="88" t="s">
        <v>65</v>
      </c>
      <c r="C21" s="89" t="s">
        <v>336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" customHeight="1" spans="1:26" x14ac:dyDescent="0.25">
      <c r="A22" s="87">
        <v>21</v>
      </c>
      <c r="B22" s="88" t="s">
        <v>66</v>
      </c>
      <c r="C22" s="89" t="s">
        <v>337</v>
      </c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" customHeight="1" spans="1:26" x14ac:dyDescent="0.25">
      <c r="A23" s="87">
        <v>22</v>
      </c>
      <c r="B23" s="88" t="s">
        <v>67</v>
      </c>
      <c r="C23" s="89" t="s">
        <v>338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" customHeight="1" spans="1:26" x14ac:dyDescent="0.25">
      <c r="A24" s="87">
        <v>23</v>
      </c>
      <c r="B24" s="90" t="s">
        <v>68</v>
      </c>
      <c r="C24" s="89" t="s">
        <v>339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" customHeight="1" spans="1:26" x14ac:dyDescent="0.25">
      <c r="A25" s="87">
        <v>24</v>
      </c>
      <c r="B25" s="88" t="s">
        <v>69</v>
      </c>
      <c r="C25" s="89" t="s">
        <v>340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" customHeight="1" spans="1:26" x14ac:dyDescent="0.25">
      <c r="A26" s="87">
        <v>25</v>
      </c>
      <c r="B26" s="88" t="s">
        <v>70</v>
      </c>
      <c r="C26" s="89" t="s">
        <v>341</v>
      </c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" customHeight="1" spans="1:26" x14ac:dyDescent="0.25">
      <c r="A27" s="87">
        <v>26</v>
      </c>
      <c r="B27" s="88" t="s">
        <v>71</v>
      </c>
      <c r="C27" s="89" t="s">
        <v>342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" customHeight="1" spans="1:26" x14ac:dyDescent="0.25">
      <c r="A28" s="87">
        <v>27</v>
      </c>
      <c r="B28" s="88" t="s">
        <v>72</v>
      </c>
      <c r="C28" s="89" t="s">
        <v>343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" customHeight="1" spans="1:26" x14ac:dyDescent="0.25">
      <c r="A29" s="87">
        <v>28</v>
      </c>
      <c r="B29" s="88" t="s">
        <v>73</v>
      </c>
      <c r="C29" s="89" t="s">
        <v>344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" customHeight="1" spans="1:26" x14ac:dyDescent="0.25">
      <c r="A30" s="87">
        <v>29</v>
      </c>
      <c r="B30" s="88" t="s">
        <v>74</v>
      </c>
      <c r="C30" s="89" t="s">
        <v>345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" customHeight="1" spans="1:26" x14ac:dyDescent="0.25">
      <c r="A31" s="87">
        <v>30</v>
      </c>
      <c r="B31" s="88" t="s">
        <v>75</v>
      </c>
      <c r="C31" s="89" t="s">
        <v>346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" customHeight="1" spans="1:26" x14ac:dyDescent="0.25">
      <c r="A32" s="87">
        <v>31</v>
      </c>
      <c r="B32" s="88" t="s">
        <v>76</v>
      </c>
      <c r="C32" s="89" t="s">
        <v>347</v>
      </c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" customHeight="1" spans="1:26" x14ac:dyDescent="0.25">
      <c r="A33" s="87">
        <v>32</v>
      </c>
      <c r="B33" s="88" t="s">
        <v>77</v>
      </c>
      <c r="C33" s="89" t="s">
        <v>348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" customHeight="1" spans="1:26" x14ac:dyDescent="0.25">
      <c r="A34" s="87">
        <v>33</v>
      </c>
      <c r="B34" s="88" t="s">
        <v>78</v>
      </c>
      <c r="C34" s="89" t="s">
        <v>349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" customHeight="1" spans="1:26" x14ac:dyDescent="0.25">
      <c r="A35" s="87">
        <v>34</v>
      </c>
      <c r="B35" s="88" t="s">
        <v>79</v>
      </c>
      <c r="C35" s="89" t="s">
        <v>350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" customHeight="1" spans="1:26" x14ac:dyDescent="0.25">
      <c r="A36" s="87">
        <v>35</v>
      </c>
      <c r="B36" s="88" t="s">
        <v>80</v>
      </c>
      <c r="C36" s="89" t="s">
        <v>351</v>
      </c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" customHeight="1" spans="1:26" x14ac:dyDescent="0.25">
      <c r="A37" s="87">
        <v>36</v>
      </c>
      <c r="B37" s="88" t="s">
        <v>81</v>
      </c>
      <c r="C37" s="89" t="s">
        <v>352</v>
      </c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" customHeight="1" spans="1:26" x14ac:dyDescent="0.25">
      <c r="A38" s="87">
        <v>37</v>
      </c>
      <c r="B38" s="88" t="s">
        <v>82</v>
      </c>
      <c r="C38" s="89" t="s">
        <v>353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" customHeight="1" spans="1:26" x14ac:dyDescent="0.25">
      <c r="A39" s="87">
        <v>38</v>
      </c>
      <c r="B39" s="88" t="s">
        <v>83</v>
      </c>
      <c r="C39" s="89" t="s">
        <v>354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" customHeight="1" spans="1:26" x14ac:dyDescent="0.25">
      <c r="A40" s="87">
        <v>39</v>
      </c>
      <c r="B40" s="88" t="s">
        <v>84</v>
      </c>
      <c r="C40" s="89" t="s">
        <v>355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" customHeight="1" spans="1:26" x14ac:dyDescent="0.25">
      <c r="A41" s="87">
        <v>40</v>
      </c>
      <c r="B41" s="88" t="s">
        <v>85</v>
      </c>
      <c r="C41" s="89" t="s">
        <v>356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" customHeight="1" spans="1:26" x14ac:dyDescent="0.25">
      <c r="A42" s="87">
        <v>41</v>
      </c>
      <c r="B42" s="88" t="s">
        <v>86</v>
      </c>
      <c r="C42" s="89" t="s">
        <v>357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" customHeight="1" spans="1:26" x14ac:dyDescent="0.25">
      <c r="A43" s="87">
        <v>42</v>
      </c>
      <c r="B43" s="88" t="s">
        <v>87</v>
      </c>
      <c r="C43" s="89" t="s">
        <v>358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" customHeight="1" spans="1:26" x14ac:dyDescent="0.25">
      <c r="A44" s="87">
        <v>43</v>
      </c>
      <c r="B44" s="88" t="s">
        <v>88</v>
      </c>
      <c r="C44" s="89" t="s">
        <v>359</v>
      </c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" customHeight="1" spans="1:26" x14ac:dyDescent="0.25">
      <c r="A45" s="87">
        <v>44</v>
      </c>
      <c r="B45" s="88" t="s">
        <v>89</v>
      </c>
      <c r="C45" s="89" t="s">
        <v>360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" customHeight="1" spans="1:26" x14ac:dyDescent="0.25">
      <c r="A46" s="87">
        <v>45</v>
      </c>
      <c r="B46" s="88" t="s">
        <v>90</v>
      </c>
      <c r="C46" s="89" t="s">
        <v>361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" customHeight="1" spans="1:26" x14ac:dyDescent="0.25">
      <c r="A47" s="87">
        <v>46</v>
      </c>
      <c r="B47" s="88" t="s">
        <v>91</v>
      </c>
      <c r="C47" s="89" t="s">
        <v>362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" customHeight="1" spans="1:26" x14ac:dyDescent="0.25">
      <c r="A48" s="87">
        <v>47</v>
      </c>
      <c r="B48" s="88" t="s">
        <v>92</v>
      </c>
      <c r="C48" s="89" t="s">
        <v>363</v>
      </c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" customHeight="1" spans="1:26" x14ac:dyDescent="0.25">
      <c r="A49" s="87">
        <v>48</v>
      </c>
      <c r="B49" s="88" t="s">
        <v>93</v>
      </c>
      <c r="C49" s="89" t="s">
        <v>364</v>
      </c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" customHeight="1" spans="1:26" x14ac:dyDescent="0.25">
      <c r="A50" s="87">
        <v>49</v>
      </c>
      <c r="B50" s="88" t="s">
        <v>94</v>
      </c>
      <c r="C50" s="89" t="s">
        <v>365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" customHeight="1" spans="1:26" x14ac:dyDescent="0.25">
      <c r="A51" s="87">
        <v>50</v>
      </c>
      <c r="B51" s="88" t="s">
        <v>95</v>
      </c>
      <c r="C51" s="89" t="s">
        <v>366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" customHeight="1" spans="1:26" x14ac:dyDescent="0.25">
      <c r="A52" s="87">
        <v>51</v>
      </c>
      <c r="B52" s="88" t="s">
        <v>96</v>
      </c>
      <c r="C52" s="89" t="s">
        <v>367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" customHeight="1" spans="1:26" x14ac:dyDescent="0.25">
      <c r="A53" s="87">
        <v>52</v>
      </c>
      <c r="B53" s="88" t="s">
        <v>97</v>
      </c>
      <c r="C53" s="89" t="s">
        <v>368</v>
      </c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" customHeight="1" spans="1:26" x14ac:dyDescent="0.25">
      <c r="A54" s="87">
        <v>53</v>
      </c>
      <c r="B54" s="88" t="s">
        <v>98</v>
      </c>
      <c r="C54" s="89" t="s">
        <v>369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" customHeight="1" spans="1:26" x14ac:dyDescent="0.25">
      <c r="A55" s="87">
        <v>54</v>
      </c>
      <c r="B55" s="88" t="s">
        <v>99</v>
      </c>
      <c r="C55" s="89" t="s">
        <v>370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" customHeight="1" spans="1:26" x14ac:dyDescent="0.25">
      <c r="A56" s="87">
        <v>55</v>
      </c>
      <c r="B56" s="88" t="s">
        <v>100</v>
      </c>
      <c r="C56" s="89" t="s">
        <v>371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" customHeight="1" spans="1:26" x14ac:dyDescent="0.25">
      <c r="A57" s="87">
        <v>56</v>
      </c>
      <c r="B57" s="88" t="s">
        <v>101</v>
      </c>
      <c r="C57" s="89" t="s">
        <v>372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" customHeight="1" spans="1:26" x14ac:dyDescent="0.25">
      <c r="A58" s="87">
        <v>57</v>
      </c>
      <c r="B58" s="88" t="s">
        <v>102</v>
      </c>
      <c r="C58" s="89" t="s">
        <v>373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" customHeight="1" spans="1:26" x14ac:dyDescent="0.25">
      <c r="A59" s="87">
        <v>58</v>
      </c>
      <c r="B59" s="88" t="s">
        <v>103</v>
      </c>
      <c r="C59" s="89" t="s">
        <v>374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" customHeight="1" spans="1:26" x14ac:dyDescent="0.25">
      <c r="A60" s="87">
        <v>59</v>
      </c>
      <c r="B60" s="88" t="s">
        <v>104</v>
      </c>
      <c r="C60" s="89" t="s">
        <v>375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" customHeight="1" spans="1:26" x14ac:dyDescent="0.25">
      <c r="A61" s="87">
        <v>60</v>
      </c>
      <c r="B61" s="88" t="s">
        <v>105</v>
      </c>
      <c r="C61" s="89" t="s">
        <v>376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" customHeight="1" spans="1:26" x14ac:dyDescent="0.25">
      <c r="A62" s="87">
        <v>61</v>
      </c>
      <c r="B62" s="88" t="s">
        <v>106</v>
      </c>
      <c r="C62" s="89" t="s">
        <v>377</v>
      </c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" customHeight="1" spans="1:26" x14ac:dyDescent="0.25">
      <c r="A63" s="87">
        <v>62</v>
      </c>
      <c r="B63" s="88" t="s">
        <v>107</v>
      </c>
      <c r="C63" s="89" t="s">
        <v>378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" customHeight="1" spans="1:26" x14ac:dyDescent="0.25">
      <c r="A64" s="87">
        <v>63</v>
      </c>
      <c r="B64" s="88" t="s">
        <v>108</v>
      </c>
      <c r="C64" s="89" t="s">
        <v>379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" customHeight="1" spans="1:26" x14ac:dyDescent="0.25">
      <c r="A65" s="87">
        <v>64</v>
      </c>
      <c r="B65" s="88" t="s">
        <v>109</v>
      </c>
      <c r="C65" s="89" t="s">
        <v>380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" customHeight="1" spans="1:26" x14ac:dyDescent="0.25">
      <c r="A66" s="87">
        <v>65</v>
      </c>
      <c r="B66" s="88" t="s">
        <v>110</v>
      </c>
      <c r="C66" s="89" t="s">
        <v>381</v>
      </c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" customHeight="1" spans="1:26" x14ac:dyDescent="0.25">
      <c r="A67" s="87">
        <v>66</v>
      </c>
      <c r="B67" s="88" t="s">
        <v>111</v>
      </c>
      <c r="C67" s="89" t="s">
        <v>382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" customHeight="1" spans="1:26" x14ac:dyDescent="0.25">
      <c r="A68" s="87">
        <v>67</v>
      </c>
      <c r="B68" s="88" t="s">
        <v>112</v>
      </c>
      <c r="C68" s="89" t="s">
        <v>383</v>
      </c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" customHeight="1" spans="1:26" x14ac:dyDescent="0.25">
      <c r="A69" s="87">
        <v>68</v>
      </c>
      <c r="B69" s="88" t="s">
        <v>113</v>
      </c>
      <c r="C69" s="89" t="s">
        <v>384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" customHeight="1" spans="1:26" x14ac:dyDescent="0.25">
      <c r="A70" s="87">
        <v>69</v>
      </c>
      <c r="B70" s="88" t="s">
        <v>114</v>
      </c>
      <c r="C70" s="89" t="s">
        <v>385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" customHeight="1" spans="1:26" x14ac:dyDescent="0.25">
      <c r="A71" s="87">
        <v>70</v>
      </c>
      <c r="B71" s="88" t="s">
        <v>115</v>
      </c>
      <c r="C71" s="89" t="s">
        <v>386</v>
      </c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" customHeight="1" spans="1:26" x14ac:dyDescent="0.25">
      <c r="A72" s="87">
        <v>71</v>
      </c>
      <c r="B72" s="88" t="s">
        <v>116</v>
      </c>
      <c r="C72" s="89" t="s">
        <v>387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" customHeight="1" spans="1:26" x14ac:dyDescent="0.25">
      <c r="A73" s="87">
        <v>72</v>
      </c>
      <c r="B73" s="88" t="s">
        <v>117</v>
      </c>
      <c r="C73" s="89" t="s">
        <v>388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" customHeight="1" spans="1:26" x14ac:dyDescent="0.25">
      <c r="A74" s="87">
        <v>73</v>
      </c>
      <c r="B74" s="88" t="s">
        <v>118</v>
      </c>
      <c r="C74" s="89" t="s">
        <v>389</v>
      </c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" customHeight="1" spans="1:26" x14ac:dyDescent="0.25">
      <c r="A75" s="87">
        <v>74</v>
      </c>
      <c r="B75" s="88" t="s">
        <v>119</v>
      </c>
      <c r="C75" s="89" t="s">
        <v>390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" customHeight="1" spans="1:26" x14ac:dyDescent="0.25">
      <c r="A76" s="87">
        <v>75</v>
      </c>
      <c r="B76" s="88" t="s">
        <v>120</v>
      </c>
      <c r="C76" s="89" t="s">
        <v>391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" customHeight="1" spans="1:26" x14ac:dyDescent="0.25">
      <c r="A77" s="87">
        <v>76</v>
      </c>
      <c r="B77" s="88" t="s">
        <v>121</v>
      </c>
      <c r="C77" s="89" t="s">
        <v>392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" customHeight="1" spans="1:26" x14ac:dyDescent="0.25">
      <c r="A78" s="87">
        <v>77</v>
      </c>
      <c r="B78" s="88" t="s">
        <v>122</v>
      </c>
      <c r="C78" s="89" t="s">
        <v>393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" customHeight="1" spans="1:26" x14ac:dyDescent="0.25">
      <c r="A79" s="87">
        <v>78</v>
      </c>
      <c r="B79" s="88" t="s">
        <v>123</v>
      </c>
      <c r="C79" s="89" t="s">
        <v>394</v>
      </c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" customHeight="1" spans="1:26" x14ac:dyDescent="0.25">
      <c r="A80" s="87">
        <v>79</v>
      </c>
      <c r="B80" s="88" t="s">
        <v>124</v>
      </c>
      <c r="C80" s="89" t="s">
        <v>395</v>
      </c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" customHeight="1" spans="1:26" x14ac:dyDescent="0.25">
      <c r="A81" s="87">
        <v>80</v>
      </c>
      <c r="B81" s="88" t="s">
        <v>125</v>
      </c>
      <c r="C81" s="89" t="s">
        <v>396</v>
      </c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" customHeight="1" spans="1:26" x14ac:dyDescent="0.25">
      <c r="A82" s="87">
        <v>81</v>
      </c>
      <c r="B82" s="88" t="s">
        <v>126</v>
      </c>
      <c r="C82" s="89" t="s">
        <v>397</v>
      </c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" customHeight="1" spans="1:26" x14ac:dyDescent="0.25">
      <c r="A83" s="87">
        <v>82</v>
      </c>
      <c r="B83" s="88" t="s">
        <v>127</v>
      </c>
      <c r="C83" s="89" t="s">
        <v>398</v>
      </c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" customHeight="1" spans="1:26" x14ac:dyDescent="0.25">
      <c r="A84" s="87">
        <v>83</v>
      </c>
      <c r="B84" s="88" t="s">
        <v>128</v>
      </c>
      <c r="C84" s="89" t="s">
        <v>399</v>
      </c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" customHeight="1" spans="1:26" x14ac:dyDescent="0.25">
      <c r="A85" s="87">
        <v>84</v>
      </c>
      <c r="B85" s="88" t="s">
        <v>129</v>
      </c>
      <c r="C85" s="89" t="s">
        <v>400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" customHeight="1" spans="1:26" x14ac:dyDescent="0.25">
      <c r="A86" s="87">
        <v>85</v>
      </c>
      <c r="B86" s="88" t="s">
        <v>130</v>
      </c>
      <c r="C86" s="89" t="s">
        <v>401</v>
      </c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" customHeight="1" spans="1:26" x14ac:dyDescent="0.25">
      <c r="A87" s="87">
        <v>86</v>
      </c>
      <c r="B87" s="88" t="s">
        <v>131</v>
      </c>
      <c r="C87" s="89" t="s">
        <v>402</v>
      </c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" customHeight="1" spans="1:26" x14ac:dyDescent="0.25">
      <c r="A88" s="87">
        <v>87</v>
      </c>
      <c r="B88" s="88" t="s">
        <v>132</v>
      </c>
      <c r="C88" s="89" t="s">
        <v>403</v>
      </c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" customHeight="1" spans="1:26" x14ac:dyDescent="0.25">
      <c r="A89" s="87">
        <v>88</v>
      </c>
      <c r="B89" s="88" t="s">
        <v>133</v>
      </c>
      <c r="C89" s="89" t="s">
        <v>404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" customHeight="1" spans="1:26" x14ac:dyDescent="0.25">
      <c r="A90" s="87">
        <v>89</v>
      </c>
      <c r="B90" s="88" t="s">
        <v>134</v>
      </c>
      <c r="C90" s="89" t="s">
        <v>405</v>
      </c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" customHeight="1" spans="1:26" x14ac:dyDescent="0.25">
      <c r="A91" s="87">
        <v>90</v>
      </c>
      <c r="B91" s="88" t="s">
        <v>135</v>
      </c>
      <c r="C91" s="89" t="s">
        <v>406</v>
      </c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" customHeight="1" spans="1:26" x14ac:dyDescent="0.25">
      <c r="A92" s="87">
        <v>91</v>
      </c>
      <c r="B92" s="88" t="s">
        <v>136</v>
      </c>
      <c r="C92" s="89" t="s">
        <v>407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" customHeight="1" spans="1:26" x14ac:dyDescent="0.25">
      <c r="A93" s="87">
        <v>92</v>
      </c>
      <c r="B93" s="88" t="s">
        <v>137</v>
      </c>
      <c r="C93" s="89" t="s">
        <v>408</v>
      </c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" customHeight="1" spans="1:26" x14ac:dyDescent="0.25">
      <c r="A94" s="87">
        <v>93</v>
      </c>
      <c r="B94" s="88" t="s">
        <v>138</v>
      </c>
      <c r="C94" s="89" t="s">
        <v>409</v>
      </c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" customHeight="1" spans="1:26" x14ac:dyDescent="0.25">
      <c r="A95" s="87">
        <v>94</v>
      </c>
      <c r="B95" s="88" t="s">
        <v>139</v>
      </c>
      <c r="C95" s="89" t="s">
        <v>410</v>
      </c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" customHeight="1" spans="1:26" x14ac:dyDescent="0.25">
      <c r="A96" s="87">
        <v>95</v>
      </c>
      <c r="B96" s="88" t="s">
        <v>140</v>
      </c>
      <c r="C96" s="89" t="s">
        <v>411</v>
      </c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" customHeight="1" spans="1:26" x14ac:dyDescent="0.25">
      <c r="A97" s="87">
        <v>96</v>
      </c>
      <c r="B97" s="88" t="s">
        <v>141</v>
      </c>
      <c r="C97" s="89" t="s">
        <v>412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" customHeight="1" spans="1:26" x14ac:dyDescent="0.25">
      <c r="A98" s="87">
        <v>97</v>
      </c>
      <c r="B98" s="88" t="s">
        <v>142</v>
      </c>
      <c r="C98" s="89" t="s">
        <v>413</v>
      </c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" customHeight="1" spans="1:26" x14ac:dyDescent="0.25">
      <c r="A99" s="87">
        <v>98</v>
      </c>
      <c r="B99" s="88" t="s">
        <v>143</v>
      </c>
      <c r="C99" s="89" t="s">
        <v>414</v>
      </c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" customHeight="1" spans="1:26" x14ac:dyDescent="0.25">
      <c r="A100" s="87">
        <v>99</v>
      </c>
      <c r="B100" s="88" t="s">
        <v>144</v>
      </c>
      <c r="C100" s="89" t="s">
        <v>415</v>
      </c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" customHeight="1" spans="1:26" x14ac:dyDescent="0.25">
      <c r="A101" s="87">
        <v>100</v>
      </c>
      <c r="B101" s="88" t="s">
        <v>145</v>
      </c>
      <c r="C101" s="89" t="s">
        <v>416</v>
      </c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" customHeight="1" spans="1:26" x14ac:dyDescent="0.25">
      <c r="A102" s="87">
        <v>101</v>
      </c>
      <c r="B102" s="88" t="s">
        <v>146</v>
      </c>
      <c r="C102" s="89" t="s">
        <v>417</v>
      </c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" customHeight="1" spans="1:26" x14ac:dyDescent="0.25">
      <c r="A103" s="87">
        <v>102</v>
      </c>
      <c r="B103" s="88" t="s">
        <v>147</v>
      </c>
      <c r="C103" s="89" t="s">
        <v>418</v>
      </c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" customHeight="1" spans="1:26" x14ac:dyDescent="0.25">
      <c r="A104" s="87">
        <v>103</v>
      </c>
      <c r="B104" s="88" t="s">
        <v>148</v>
      </c>
      <c r="C104" s="89" t="s">
        <v>419</v>
      </c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" customHeight="1" spans="1:26" x14ac:dyDescent="0.25">
      <c r="A105" s="87">
        <v>104</v>
      </c>
      <c r="B105" s="88" t="s">
        <v>149</v>
      </c>
      <c r="C105" s="89" t="s">
        <v>420</v>
      </c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" customHeight="1" spans="1:26" x14ac:dyDescent="0.25">
      <c r="A106" s="87">
        <v>105</v>
      </c>
      <c r="B106" s="88" t="s">
        <v>150</v>
      </c>
      <c r="C106" s="89" t="s">
        <v>421</v>
      </c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" customHeight="1" spans="1:26" x14ac:dyDescent="0.25">
      <c r="A107" s="87">
        <v>106</v>
      </c>
      <c r="B107" s="88" t="s">
        <v>151</v>
      </c>
      <c r="C107" s="89" t="s">
        <v>422</v>
      </c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" customHeight="1" spans="1:26" x14ac:dyDescent="0.25">
      <c r="A108" s="87">
        <v>107</v>
      </c>
      <c r="B108" s="88" t="s">
        <v>152</v>
      </c>
      <c r="C108" s="89" t="s">
        <v>423</v>
      </c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" customHeight="1" spans="1:26" x14ac:dyDescent="0.25">
      <c r="A109" s="87">
        <v>108</v>
      </c>
      <c r="B109" s="88" t="s">
        <v>153</v>
      </c>
      <c r="C109" s="89" t="s">
        <v>424</v>
      </c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" customHeight="1" spans="1:26" x14ac:dyDescent="0.25">
      <c r="A110" s="87">
        <v>109</v>
      </c>
      <c r="B110" s="88" t="s">
        <v>154</v>
      </c>
      <c r="C110" s="89" t="s">
        <v>425</v>
      </c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" customHeight="1" spans="1:26" x14ac:dyDescent="0.25">
      <c r="A111" s="87">
        <v>110</v>
      </c>
      <c r="B111" s="88" t="s">
        <v>155</v>
      </c>
      <c r="C111" s="89" t="s">
        <v>426</v>
      </c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" customHeight="1" spans="1:26" x14ac:dyDescent="0.25">
      <c r="A112" s="87">
        <v>111</v>
      </c>
      <c r="B112" s="88" t="s">
        <v>156</v>
      </c>
      <c r="C112" s="89" t="s">
        <v>427</v>
      </c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" customHeight="1" spans="1:26" x14ac:dyDescent="0.25">
      <c r="A113" s="87">
        <v>112</v>
      </c>
      <c r="B113" s="88" t="s">
        <v>157</v>
      </c>
      <c r="C113" s="89" t="s">
        <v>428</v>
      </c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" customHeight="1" spans="1:26" x14ac:dyDescent="0.25">
      <c r="A114" s="87">
        <v>113</v>
      </c>
      <c r="B114" s="88" t="s">
        <v>158</v>
      </c>
      <c r="C114" s="89" t="s">
        <v>429</v>
      </c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" customHeight="1" spans="1:26" x14ac:dyDescent="0.25">
      <c r="A115" s="87">
        <v>114</v>
      </c>
      <c r="B115" s="88" t="s">
        <v>159</v>
      </c>
      <c r="C115" s="89" t="s">
        <v>430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" customHeight="1" spans="1:26" x14ac:dyDescent="0.25">
      <c r="A116" s="87">
        <v>115</v>
      </c>
      <c r="B116" s="88" t="s">
        <v>160</v>
      </c>
      <c r="C116" s="89" t="s">
        <v>431</v>
      </c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" customHeight="1" spans="1:26" x14ac:dyDescent="0.25">
      <c r="A117" s="87">
        <v>116</v>
      </c>
      <c r="B117" s="88" t="s">
        <v>161</v>
      </c>
      <c r="C117" s="89" t="s">
        <v>432</v>
      </c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" customHeight="1" spans="1:26" x14ac:dyDescent="0.25">
      <c r="A118" s="87">
        <v>117</v>
      </c>
      <c r="B118" s="88" t="s">
        <v>162</v>
      </c>
      <c r="C118" s="89" t="s">
        <v>433</v>
      </c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" customHeight="1" spans="1:26" x14ac:dyDescent="0.25">
      <c r="A119" s="87">
        <v>118</v>
      </c>
      <c r="B119" s="88" t="s">
        <v>163</v>
      </c>
      <c r="C119" s="89" t="s">
        <v>163</v>
      </c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" customHeight="1" spans="1:26" x14ac:dyDescent="0.25">
      <c r="A120" s="87">
        <v>119</v>
      </c>
      <c r="B120" s="88" t="s">
        <v>164</v>
      </c>
      <c r="C120" s="89" t="s">
        <v>434</v>
      </c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" customHeight="1" spans="1:26" x14ac:dyDescent="0.25">
      <c r="A121" s="87">
        <v>120</v>
      </c>
      <c r="B121" s="88" t="s">
        <v>165</v>
      </c>
      <c r="C121" s="89" t="s">
        <v>435</v>
      </c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" customHeight="1" spans="1:26" x14ac:dyDescent="0.25">
      <c r="A122" s="87">
        <v>121</v>
      </c>
      <c r="B122" s="88" t="s">
        <v>166</v>
      </c>
      <c r="C122" s="89" t="s">
        <v>436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" customHeight="1" spans="1:26" x14ac:dyDescent="0.25">
      <c r="A123" s="87">
        <v>122</v>
      </c>
      <c r="B123" s="88" t="s">
        <v>167</v>
      </c>
      <c r="C123" s="89" t="s">
        <v>437</v>
      </c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" customHeight="1" spans="1:26" x14ac:dyDescent="0.25">
      <c r="A124" s="87">
        <v>123</v>
      </c>
      <c r="B124" s="88" t="s">
        <v>168</v>
      </c>
      <c r="C124" s="89" t="s">
        <v>438</v>
      </c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" customHeight="1" spans="1:26" x14ac:dyDescent="0.25">
      <c r="A125" s="87">
        <v>124</v>
      </c>
      <c r="B125" s="88" t="s">
        <v>169</v>
      </c>
      <c r="C125" s="89" t="s">
        <v>439</v>
      </c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" customHeight="1" spans="1:26" x14ac:dyDescent="0.25">
      <c r="A126" s="87">
        <v>125</v>
      </c>
      <c r="B126" s="88" t="s">
        <v>170</v>
      </c>
      <c r="C126" s="89" t="s">
        <v>440</v>
      </c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" customHeight="1" spans="1:26" x14ac:dyDescent="0.25">
      <c r="A127" s="87">
        <v>126</v>
      </c>
      <c r="B127" s="88" t="s">
        <v>171</v>
      </c>
      <c r="C127" s="89" t="s">
        <v>441</v>
      </c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" customHeight="1" spans="1:26" x14ac:dyDescent="0.25">
      <c r="A128" s="87">
        <v>127</v>
      </c>
      <c r="B128" s="88" t="s">
        <v>172</v>
      </c>
      <c r="C128" s="89" t="s">
        <v>442</v>
      </c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" customHeight="1" spans="1:26" x14ac:dyDescent="0.25">
      <c r="A129" s="87">
        <v>128</v>
      </c>
      <c r="B129" s="88" t="s">
        <v>173</v>
      </c>
      <c r="C129" s="89" t="s">
        <v>443</v>
      </c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" customHeight="1" spans="1:26" x14ac:dyDescent="0.25">
      <c r="A130" s="87">
        <v>129</v>
      </c>
      <c r="B130" s="88" t="s">
        <v>174</v>
      </c>
      <c r="C130" s="89" t="s">
        <v>444</v>
      </c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" customHeight="1" spans="1:26" x14ac:dyDescent="0.25">
      <c r="A131" s="87">
        <v>130</v>
      </c>
      <c r="B131" s="88" t="s">
        <v>175</v>
      </c>
      <c r="C131" s="89" t="s">
        <v>445</v>
      </c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" customHeight="1" spans="1:26" x14ac:dyDescent="0.25">
      <c r="A132" s="87">
        <v>131</v>
      </c>
      <c r="B132" s="88" t="s">
        <v>176</v>
      </c>
      <c r="C132" s="89" t="s">
        <v>446</v>
      </c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" customHeight="1" spans="1:26" x14ac:dyDescent="0.25">
      <c r="A133" s="87">
        <v>132</v>
      </c>
      <c r="B133" s="88" t="s">
        <v>177</v>
      </c>
      <c r="C133" s="89" t="s">
        <v>447</v>
      </c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" customHeight="1" spans="1:26" x14ac:dyDescent="0.25">
      <c r="A134" s="87">
        <v>133</v>
      </c>
      <c r="B134" s="88" t="s">
        <v>178</v>
      </c>
      <c r="C134" s="89" t="s">
        <v>448</v>
      </c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" customHeight="1" spans="1:26" x14ac:dyDescent="0.25">
      <c r="A135" s="87">
        <v>134</v>
      </c>
      <c r="B135" s="88" t="s">
        <v>179</v>
      </c>
      <c r="C135" s="89" t="s">
        <v>449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" customHeight="1" spans="1:26" x14ac:dyDescent="0.25">
      <c r="A136" s="87">
        <v>135</v>
      </c>
      <c r="B136" s="88" t="s">
        <v>180</v>
      </c>
      <c r="C136" s="89" t="s">
        <v>450</v>
      </c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" customHeight="1" spans="1:26" x14ac:dyDescent="0.25">
      <c r="A137" s="87">
        <v>136</v>
      </c>
      <c r="B137" s="88" t="s">
        <v>181</v>
      </c>
      <c r="C137" s="89" t="s">
        <v>451</v>
      </c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" customHeight="1" spans="1:26" x14ac:dyDescent="0.25">
      <c r="A138" s="87">
        <v>137</v>
      </c>
      <c r="B138" s="88" t="s">
        <v>182</v>
      </c>
      <c r="C138" s="89" t="s">
        <v>452</v>
      </c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" customHeight="1" spans="1:26" x14ac:dyDescent="0.25">
      <c r="A139" s="87">
        <v>138</v>
      </c>
      <c r="B139" s="88" t="s">
        <v>183</v>
      </c>
      <c r="C139" s="89" t="s">
        <v>453</v>
      </c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" customHeight="1" spans="1:26" x14ac:dyDescent="0.25">
      <c r="A140" s="87">
        <v>139</v>
      </c>
      <c r="B140" s="88" t="s">
        <v>184</v>
      </c>
      <c r="C140" s="89" t="s">
        <v>454</v>
      </c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" customHeight="1" spans="1:26" x14ac:dyDescent="0.25">
      <c r="A141" s="87">
        <v>140</v>
      </c>
      <c r="B141" s="88" t="s">
        <v>185</v>
      </c>
      <c r="C141" s="89" t="s">
        <v>455</v>
      </c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" customHeight="1" spans="1:26" x14ac:dyDescent="0.25">
      <c r="A142" s="87">
        <v>141</v>
      </c>
      <c r="B142" s="88" t="s">
        <v>186</v>
      </c>
      <c r="C142" s="89" t="s">
        <v>456</v>
      </c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" customHeight="1" spans="1:26" x14ac:dyDescent="0.25">
      <c r="A143" s="87">
        <v>142</v>
      </c>
      <c r="B143" s="88" t="s">
        <v>187</v>
      </c>
      <c r="C143" s="89" t="s">
        <v>457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" customHeight="1" spans="1:26" x14ac:dyDescent="0.25">
      <c r="A144" s="87">
        <v>143</v>
      </c>
      <c r="B144" s="88" t="s">
        <v>188</v>
      </c>
      <c r="C144" s="89" t="s">
        <v>458</v>
      </c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" customHeight="1" spans="1:26" x14ac:dyDescent="0.25">
      <c r="A145" s="87">
        <v>144</v>
      </c>
      <c r="B145" s="88" t="s">
        <v>189</v>
      </c>
      <c r="C145" s="89" t="s">
        <v>459</v>
      </c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" customHeight="1" spans="1:26" x14ac:dyDescent="0.25">
      <c r="A146" s="87">
        <v>145</v>
      </c>
      <c r="B146" s="88" t="s">
        <v>190</v>
      </c>
      <c r="C146" s="89" t="s">
        <v>460</v>
      </c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" customHeight="1" spans="1:26" x14ac:dyDescent="0.25">
      <c r="A147" s="87">
        <v>146</v>
      </c>
      <c r="B147" s="88" t="s">
        <v>191</v>
      </c>
      <c r="C147" s="89" t="s">
        <v>461</v>
      </c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" customHeight="1" spans="1:26" x14ac:dyDescent="0.25">
      <c r="A148" s="87">
        <v>147</v>
      </c>
      <c r="B148" s="88" t="s">
        <v>192</v>
      </c>
      <c r="C148" s="89" t="s">
        <v>462</v>
      </c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" customHeight="1" spans="1:26" x14ac:dyDescent="0.25">
      <c r="A149" s="87">
        <v>148</v>
      </c>
      <c r="B149" s="88" t="s">
        <v>193</v>
      </c>
      <c r="C149" s="89" t="s">
        <v>463</v>
      </c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" customHeight="1" spans="1:26" x14ac:dyDescent="0.25">
      <c r="A150" s="87">
        <v>149</v>
      </c>
      <c r="B150" s="88" t="s">
        <v>194</v>
      </c>
      <c r="C150" s="89" t="s">
        <v>464</v>
      </c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" customHeight="1" spans="1:26" x14ac:dyDescent="0.25">
      <c r="A151" s="87">
        <v>150</v>
      </c>
      <c r="B151" s="88" t="s">
        <v>195</v>
      </c>
      <c r="C151" s="89" t="s">
        <v>465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" customHeight="1" spans="1:26" x14ac:dyDescent="0.25">
      <c r="A152" s="87">
        <v>151</v>
      </c>
      <c r="B152" s="88" t="s">
        <v>196</v>
      </c>
      <c r="C152" s="89" t="s">
        <v>466</v>
      </c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" customHeight="1" spans="1:26" x14ac:dyDescent="0.25">
      <c r="A153" s="87">
        <v>152</v>
      </c>
      <c r="B153" s="88" t="s">
        <v>197</v>
      </c>
      <c r="C153" s="89" t="s">
        <v>467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" customHeight="1" spans="1:26" x14ac:dyDescent="0.25">
      <c r="A154" s="87">
        <v>153</v>
      </c>
      <c r="B154" s="88" t="s">
        <v>198</v>
      </c>
      <c r="C154" s="89" t="s">
        <v>468</v>
      </c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" customHeight="1" spans="1:26" x14ac:dyDescent="0.25">
      <c r="A155" s="87">
        <v>154</v>
      </c>
      <c r="B155" s="88" t="s">
        <v>199</v>
      </c>
      <c r="C155" s="89" t="s">
        <v>469</v>
      </c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" customHeight="1" spans="1:26" x14ac:dyDescent="0.25">
      <c r="A156" s="87">
        <v>155</v>
      </c>
      <c r="B156" s="88" t="s">
        <v>200</v>
      </c>
      <c r="C156" s="89" t="s">
        <v>470</v>
      </c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" customHeight="1" spans="1:26" x14ac:dyDescent="0.25">
      <c r="A157" s="87">
        <v>156</v>
      </c>
      <c r="B157" s="88" t="s">
        <v>201</v>
      </c>
      <c r="C157" s="89" t="s">
        <v>471</v>
      </c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" customHeight="1" spans="1:26" x14ac:dyDescent="0.25">
      <c r="A158" s="87">
        <v>157</v>
      </c>
      <c r="B158" s="88" t="s">
        <v>202</v>
      </c>
      <c r="C158" s="89" t="s">
        <v>472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" customHeight="1" spans="1:26" x14ac:dyDescent="0.25">
      <c r="A159" s="87">
        <v>158</v>
      </c>
      <c r="B159" s="88" t="s">
        <v>203</v>
      </c>
      <c r="C159" s="89" t="s">
        <v>473</v>
      </c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" customHeight="1" spans="1:26" x14ac:dyDescent="0.25">
      <c r="A160" s="87">
        <v>159</v>
      </c>
      <c r="B160" s="88" t="s">
        <v>204</v>
      </c>
      <c r="C160" s="89" t="s">
        <v>474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" customHeight="1" spans="1:26" x14ac:dyDescent="0.25">
      <c r="A161" s="87">
        <v>160</v>
      </c>
      <c r="B161" s="88" t="s">
        <v>205</v>
      </c>
      <c r="C161" s="89" t="s">
        <v>475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" customHeight="1" spans="1:26" x14ac:dyDescent="0.25">
      <c r="A162" s="87">
        <v>161</v>
      </c>
      <c r="B162" s="88" t="s">
        <v>206</v>
      </c>
      <c r="C162" s="89" t="s">
        <v>476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" customHeight="1" spans="1:26" x14ac:dyDescent="0.25">
      <c r="A163" s="87">
        <v>162</v>
      </c>
      <c r="B163" s="88" t="s">
        <v>207</v>
      </c>
      <c r="C163" s="89" t="s">
        <v>477</v>
      </c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" customHeight="1" spans="1:26" x14ac:dyDescent="0.25">
      <c r="A164" s="87">
        <v>163</v>
      </c>
      <c r="B164" s="88" t="s">
        <v>208</v>
      </c>
      <c r="C164" s="89" t="s">
        <v>478</v>
      </c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" customHeight="1" spans="1:26" x14ac:dyDescent="0.25">
      <c r="A165" s="87">
        <v>164</v>
      </c>
      <c r="B165" s="88" t="s">
        <v>209</v>
      </c>
      <c r="C165" s="89" t="s">
        <v>479</v>
      </c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" customHeight="1" spans="1:26" x14ac:dyDescent="0.25">
      <c r="A166" s="87">
        <v>165</v>
      </c>
      <c r="B166" s="88" t="s">
        <v>210</v>
      </c>
      <c r="C166" s="89" t="s">
        <v>480</v>
      </c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" customHeight="1" spans="1:26" x14ac:dyDescent="0.25">
      <c r="A167" s="87">
        <v>166</v>
      </c>
      <c r="B167" s="88" t="s">
        <v>211</v>
      </c>
      <c r="C167" s="89" t="s">
        <v>481</v>
      </c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" customHeight="1" spans="1:26" x14ac:dyDescent="0.25">
      <c r="A168" s="87">
        <v>167</v>
      </c>
      <c r="B168" s="88" t="s">
        <v>212</v>
      </c>
      <c r="C168" s="89" t="s">
        <v>482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" customHeight="1" spans="1:26" x14ac:dyDescent="0.25">
      <c r="A169" s="87">
        <v>168</v>
      </c>
      <c r="B169" s="88" t="s">
        <v>213</v>
      </c>
      <c r="C169" s="89" t="s">
        <v>483</v>
      </c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" customHeight="1" spans="1:26" x14ac:dyDescent="0.25">
      <c r="A170" s="87">
        <v>169</v>
      </c>
      <c r="B170" s="88" t="s">
        <v>214</v>
      </c>
      <c r="C170" s="89" t="s">
        <v>484</v>
      </c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" customHeight="1" spans="1:26" x14ac:dyDescent="0.25">
      <c r="A171" s="87">
        <v>170</v>
      </c>
      <c r="B171" s="88" t="s">
        <v>215</v>
      </c>
      <c r="C171" s="89" t="s">
        <v>485</v>
      </c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" customHeight="1" spans="1:26" x14ac:dyDescent="0.25">
      <c r="A172" s="87">
        <v>171</v>
      </c>
      <c r="B172" s="88" t="s">
        <v>216</v>
      </c>
      <c r="C172" s="89" t="s">
        <v>486</v>
      </c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" customHeight="1" spans="1:26" x14ac:dyDescent="0.25">
      <c r="A173" s="92">
        <v>172</v>
      </c>
      <c r="B173" s="93" t="s">
        <v>217</v>
      </c>
      <c r="C173" s="94" t="s">
        <v>487</v>
      </c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" customHeight="1" spans="1:26" x14ac:dyDescent="0.25">
      <c r="A174" s="87">
        <v>173</v>
      </c>
      <c r="B174" s="95" t="s">
        <v>218</v>
      </c>
      <c r="C174" s="89" t="s">
        <v>488</v>
      </c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" customHeight="1" spans="1:26" x14ac:dyDescent="0.25">
      <c r="A175" s="87">
        <v>174</v>
      </c>
      <c r="B175" s="95" t="s">
        <v>219</v>
      </c>
      <c r="C175" s="89" t="s">
        <v>489</v>
      </c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" customHeight="1" spans="1:26" x14ac:dyDescent="0.25">
      <c r="A176" s="87">
        <v>175</v>
      </c>
      <c r="B176" s="95" t="s">
        <v>220</v>
      </c>
      <c r="C176" s="89" t="s">
        <v>333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" customHeight="1" spans="1:26" x14ac:dyDescent="0.25">
      <c r="A177" s="87">
        <v>176</v>
      </c>
      <c r="B177" s="95" t="s">
        <v>221</v>
      </c>
      <c r="C177" s="89" t="s">
        <v>490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" customHeight="1" spans="1:26" x14ac:dyDescent="0.25">
      <c r="A178" s="87">
        <v>177</v>
      </c>
      <c r="B178" s="95" t="s">
        <v>222</v>
      </c>
      <c r="C178" s="89" t="s">
        <v>491</v>
      </c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" customHeight="1" spans="1:26" x14ac:dyDescent="0.25">
      <c r="A179" s="83"/>
      <c r="B179" s="96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" customHeight="1" spans="1:26" x14ac:dyDescent="0.25">
      <c r="A180" s="83"/>
      <c r="B180" s="96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" customHeight="1" spans="1:26" x14ac:dyDescent="0.25">
      <c r="A181" s="83"/>
      <c r="B181" s="96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" customHeight="1" spans="1:26" x14ac:dyDescent="0.25">
      <c r="A182" s="83"/>
      <c r="B182" s="96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" customHeight="1" spans="1:26" x14ac:dyDescent="0.25">
      <c r="A183" s="83"/>
      <c r="B183" s="96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" customHeight="1" spans="1:26" x14ac:dyDescent="0.25">
      <c r="A184" s="83"/>
      <c r="B184" s="96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" customHeight="1" spans="1:26" x14ac:dyDescent="0.25">
      <c r="A185" s="83"/>
      <c r="B185" s="96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" customHeight="1" spans="1:26" x14ac:dyDescent="0.25">
      <c r="A186" s="83"/>
      <c r="B186" s="96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" customHeight="1" spans="1:26" x14ac:dyDescent="0.25">
      <c r="A187" s="83"/>
      <c r="B187" s="96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" customHeight="1" spans="1:26" x14ac:dyDescent="0.25">
      <c r="A188" s="83"/>
      <c r="B188" s="96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" customHeight="1" spans="1:26" x14ac:dyDescent="0.25">
      <c r="A189" s="83"/>
      <c r="B189" s="96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" customHeight="1" spans="1:26" x14ac:dyDescent="0.25">
      <c r="A190" s="83"/>
      <c r="B190" s="96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" customHeight="1" spans="1:26" x14ac:dyDescent="0.25">
      <c r="A191" s="83"/>
      <c r="B191" s="96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" customHeight="1" spans="1:26" x14ac:dyDescent="0.25">
      <c r="A192" s="83"/>
      <c r="B192" s="96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" customHeight="1" spans="1:26" x14ac:dyDescent="0.25">
      <c r="A193" s="83"/>
      <c r="B193" s="96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" customHeight="1" spans="1:26" x14ac:dyDescent="0.25">
      <c r="A194" s="83"/>
      <c r="B194" s="96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" customHeight="1" spans="1:26" x14ac:dyDescent="0.25">
      <c r="A195" s="83"/>
      <c r="B195" s="96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" customHeight="1" spans="1:26" x14ac:dyDescent="0.25">
      <c r="A196" s="83"/>
      <c r="B196" s="96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" customHeight="1" spans="1:26" x14ac:dyDescent="0.25">
      <c r="A197" s="83"/>
      <c r="B197" s="96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" customHeight="1" spans="1:26" x14ac:dyDescent="0.25">
      <c r="A198" s="83"/>
      <c r="B198" s="96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" customHeight="1" spans="1:26" x14ac:dyDescent="0.25">
      <c r="A199" s="83"/>
      <c r="B199" s="96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" customHeight="1" spans="1:26" x14ac:dyDescent="0.25">
      <c r="A200" s="83"/>
      <c r="B200" s="96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" customHeight="1" spans="1:26" x14ac:dyDescent="0.25">
      <c r="A201" s="83"/>
      <c r="B201" s="96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" customHeight="1" spans="1:26" x14ac:dyDescent="0.25">
      <c r="A202" s="83"/>
      <c r="B202" s="96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" customHeight="1" spans="1:26" x14ac:dyDescent="0.25">
      <c r="A203" s="83"/>
      <c r="B203" s="96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" customHeight="1" spans="1:26" x14ac:dyDescent="0.25">
      <c r="A204" s="83"/>
      <c r="B204" s="96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" customHeight="1" spans="1:26" x14ac:dyDescent="0.25">
      <c r="A205" s="83"/>
      <c r="B205" s="96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" customHeight="1" spans="1:26" x14ac:dyDescent="0.25">
      <c r="A206" s="83"/>
      <c r="B206" s="96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" customHeight="1" spans="1:26" x14ac:dyDescent="0.25">
      <c r="A207" s="83"/>
      <c r="B207" s="96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" customHeight="1" spans="1:26" x14ac:dyDescent="0.25">
      <c r="A208" s="83"/>
      <c r="B208" s="96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" customHeight="1" spans="1:26" x14ac:dyDescent="0.25">
      <c r="A209" s="83"/>
      <c r="B209" s="96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" customHeight="1" spans="1:26" x14ac:dyDescent="0.25">
      <c r="A210" s="83"/>
      <c r="B210" s="96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" customHeight="1" spans="1:26" x14ac:dyDescent="0.25">
      <c r="A211" s="83"/>
      <c r="B211" s="96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" customHeight="1" spans="1:26" x14ac:dyDescent="0.25">
      <c r="A212" s="83"/>
      <c r="B212" s="96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" customHeight="1" spans="1:26" x14ac:dyDescent="0.25">
      <c r="A213" s="83"/>
      <c r="B213" s="96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" customHeight="1" spans="1:26" x14ac:dyDescent="0.25">
      <c r="A214" s="83"/>
      <c r="B214" s="96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" customHeight="1" spans="1:26" x14ac:dyDescent="0.25">
      <c r="A215" s="83"/>
      <c r="B215" s="96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" customHeight="1" spans="1:26" x14ac:dyDescent="0.25">
      <c r="A216" s="83"/>
      <c r="B216" s="96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" customHeight="1" spans="1:26" x14ac:dyDescent="0.25">
      <c r="A217" s="83"/>
      <c r="B217" s="96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" customHeight="1" spans="1:26" x14ac:dyDescent="0.25">
      <c r="A218" s="83"/>
      <c r="B218" s="96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" customHeight="1" spans="1:26" x14ac:dyDescent="0.25">
      <c r="A219" s="83"/>
      <c r="B219" s="96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" customHeight="1" spans="1:26" x14ac:dyDescent="0.25">
      <c r="A220" s="83"/>
      <c r="B220" s="96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" customHeight="1" spans="1:26" x14ac:dyDescent="0.25">
      <c r="A221" s="83"/>
      <c r="B221" s="96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" customHeight="1" spans="1:26" x14ac:dyDescent="0.25">
      <c r="A222" s="83"/>
      <c r="B222" s="96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" customHeight="1" spans="1:26" x14ac:dyDescent="0.25">
      <c r="A223" s="83"/>
      <c r="B223" s="96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" customHeight="1" spans="1:26" x14ac:dyDescent="0.25">
      <c r="A224" s="83"/>
      <c r="B224" s="96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" customHeight="1" spans="1:26" x14ac:dyDescent="0.25">
      <c r="A225" s="83"/>
      <c r="B225" s="96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" customHeight="1" spans="1:26" x14ac:dyDescent="0.25">
      <c r="A226" s="83"/>
      <c r="B226" s="96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" customHeight="1" spans="1:26" x14ac:dyDescent="0.25">
      <c r="A227" s="83"/>
      <c r="B227" s="96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" customHeight="1" spans="1:26" x14ac:dyDescent="0.25">
      <c r="A228" s="83"/>
      <c r="B228" s="96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" customHeight="1" spans="1:26" x14ac:dyDescent="0.25">
      <c r="A229" s="83"/>
      <c r="B229" s="96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" customHeight="1" spans="1:26" x14ac:dyDescent="0.25">
      <c r="A230" s="83"/>
      <c r="B230" s="96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" customHeight="1" spans="1:26" x14ac:dyDescent="0.25">
      <c r="A231" s="83"/>
      <c r="B231" s="96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" customHeight="1" spans="1:26" x14ac:dyDescent="0.25">
      <c r="A232" s="83"/>
      <c r="B232" s="96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" customHeight="1" spans="1:26" x14ac:dyDescent="0.25">
      <c r="A233" s="83"/>
      <c r="B233" s="96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" customHeight="1" spans="1:26" x14ac:dyDescent="0.25">
      <c r="A234" s="83"/>
      <c r="B234" s="96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" customHeight="1" spans="1:26" x14ac:dyDescent="0.25">
      <c r="A235" s="83"/>
      <c r="B235" s="96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" customHeight="1" spans="1:26" x14ac:dyDescent="0.25">
      <c r="A236" s="83"/>
      <c r="B236" s="96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" customHeight="1" spans="1:26" x14ac:dyDescent="0.25">
      <c r="A237" s="83"/>
      <c r="B237" s="96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" customHeight="1" spans="1:26" x14ac:dyDescent="0.25">
      <c r="A238" s="83"/>
      <c r="B238" s="96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" customHeight="1" spans="1:26" x14ac:dyDescent="0.25">
      <c r="A239" s="83"/>
      <c r="B239" s="96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" customHeight="1" spans="1:26" x14ac:dyDescent="0.25">
      <c r="A240" s="83"/>
      <c r="B240" s="96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" customHeight="1" spans="1:26" x14ac:dyDescent="0.25">
      <c r="A241" s="83"/>
      <c r="B241" s="96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" customHeight="1" spans="1:26" x14ac:dyDescent="0.25">
      <c r="A242" s="83"/>
      <c r="B242" s="96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" customHeight="1" spans="1:26" x14ac:dyDescent="0.25">
      <c r="A243" s="83"/>
      <c r="B243" s="96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" customHeight="1" spans="1:26" x14ac:dyDescent="0.25">
      <c r="A244" s="83"/>
      <c r="B244" s="96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" customHeight="1" spans="1:26" x14ac:dyDescent="0.25">
      <c r="A245" s="83"/>
      <c r="B245" s="96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" customHeight="1" spans="1:26" x14ac:dyDescent="0.25">
      <c r="A246" s="83"/>
      <c r="B246" s="96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" customHeight="1" spans="1:26" x14ac:dyDescent="0.25">
      <c r="A247" s="83"/>
      <c r="B247" s="96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" customHeight="1" spans="1:26" x14ac:dyDescent="0.25">
      <c r="A248" s="83"/>
      <c r="B248" s="96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" customHeight="1" spans="1:26" x14ac:dyDescent="0.25">
      <c r="A249" s="83"/>
      <c r="B249" s="96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" customHeight="1" spans="1:26" x14ac:dyDescent="0.25">
      <c r="A250" s="83"/>
      <c r="B250" s="96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" customHeight="1" spans="1:26" x14ac:dyDescent="0.25">
      <c r="A251" s="83"/>
      <c r="B251" s="96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" customHeight="1" spans="1:26" x14ac:dyDescent="0.25">
      <c r="A252" s="83"/>
      <c r="B252" s="96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" customHeight="1" spans="1:26" x14ac:dyDescent="0.25">
      <c r="A253" s="83"/>
      <c r="B253" s="96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" customHeight="1" spans="1:26" x14ac:dyDescent="0.25">
      <c r="A254" s="83"/>
      <c r="B254" s="96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" customHeight="1" spans="1:26" x14ac:dyDescent="0.25">
      <c r="A255" s="83"/>
      <c r="B255" s="96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" customHeight="1" spans="1:26" x14ac:dyDescent="0.25">
      <c r="A256" s="83"/>
      <c r="B256" s="96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" customHeight="1" spans="1:26" x14ac:dyDescent="0.25">
      <c r="A257" s="83"/>
      <c r="B257" s="96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" customHeight="1" spans="1:26" x14ac:dyDescent="0.25">
      <c r="A258" s="83"/>
      <c r="B258" s="96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" customHeight="1" spans="1:26" x14ac:dyDescent="0.25">
      <c r="A259" s="83"/>
      <c r="B259" s="96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" customHeight="1" spans="1:26" x14ac:dyDescent="0.25">
      <c r="A260" s="83"/>
      <c r="B260" s="96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" customHeight="1" spans="1:26" x14ac:dyDescent="0.25">
      <c r="A261" s="83"/>
      <c r="B261" s="96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" customHeight="1" spans="1:26" x14ac:dyDescent="0.25">
      <c r="A262" s="83"/>
      <c r="B262" s="96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" customHeight="1" spans="1:26" x14ac:dyDescent="0.25">
      <c r="A263" s="83"/>
      <c r="B263" s="96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" customHeight="1" spans="1:26" x14ac:dyDescent="0.25">
      <c r="A264" s="83"/>
      <c r="B264" s="96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" customHeight="1" spans="1:26" x14ac:dyDescent="0.25">
      <c r="A265" s="83"/>
      <c r="B265" s="96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" customHeight="1" spans="1:26" x14ac:dyDescent="0.25">
      <c r="A266" s="83"/>
      <c r="B266" s="96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" customHeight="1" spans="1:26" x14ac:dyDescent="0.25">
      <c r="A267" s="83"/>
      <c r="B267" s="96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" customHeight="1" spans="1:26" x14ac:dyDescent="0.25">
      <c r="A268" s="83"/>
      <c r="B268" s="96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" customHeight="1" spans="1:26" x14ac:dyDescent="0.25">
      <c r="A269" s="83"/>
      <c r="B269" s="96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" customHeight="1" spans="1:26" x14ac:dyDescent="0.25">
      <c r="A270" s="83"/>
      <c r="B270" s="96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" customHeight="1" spans="1:26" x14ac:dyDescent="0.25">
      <c r="A271" s="83"/>
      <c r="B271" s="96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" customHeight="1" spans="1:26" x14ac:dyDescent="0.25">
      <c r="A272" s="83"/>
      <c r="B272" s="96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" customHeight="1" spans="1:26" x14ac:dyDescent="0.25">
      <c r="A273" s="83"/>
      <c r="B273" s="96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" customHeight="1" spans="1:26" x14ac:dyDescent="0.25">
      <c r="A274" s="83"/>
      <c r="B274" s="96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" customHeight="1" spans="1:26" x14ac:dyDescent="0.25">
      <c r="A275" s="83"/>
      <c r="B275" s="96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" customHeight="1" spans="1:26" x14ac:dyDescent="0.25">
      <c r="A276" s="83"/>
      <c r="B276" s="96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" customHeight="1" spans="1:26" x14ac:dyDescent="0.25">
      <c r="A277" s="83"/>
      <c r="B277" s="96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" customHeight="1" spans="1:26" x14ac:dyDescent="0.25">
      <c r="A278" s="83"/>
      <c r="B278" s="96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" customHeight="1" spans="1:26" x14ac:dyDescent="0.25">
      <c r="A279" s="83"/>
      <c r="B279" s="96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" customHeight="1" spans="1:26" x14ac:dyDescent="0.25">
      <c r="A280" s="83"/>
      <c r="B280" s="96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" customHeight="1" spans="1:26" x14ac:dyDescent="0.25">
      <c r="A281" s="83"/>
      <c r="B281" s="96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" customHeight="1" spans="1:26" x14ac:dyDescent="0.25">
      <c r="A282" s="83"/>
      <c r="B282" s="96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" customHeight="1" spans="1:26" x14ac:dyDescent="0.25">
      <c r="A283" s="83"/>
      <c r="B283" s="96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" customHeight="1" spans="1:26" x14ac:dyDescent="0.25">
      <c r="A284" s="83"/>
      <c r="B284" s="96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" customHeight="1" spans="1:26" x14ac:dyDescent="0.25">
      <c r="A285" s="83"/>
      <c r="B285" s="96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" customHeight="1" spans="1:26" x14ac:dyDescent="0.25">
      <c r="A286" s="83"/>
      <c r="B286" s="96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" customHeight="1" spans="1:26" x14ac:dyDescent="0.25">
      <c r="A287" s="83"/>
      <c r="B287" s="96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" customHeight="1" spans="1:26" x14ac:dyDescent="0.25">
      <c r="A288" s="83"/>
      <c r="B288" s="96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" customHeight="1" spans="1:26" x14ac:dyDescent="0.25">
      <c r="A289" s="83"/>
      <c r="B289" s="96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" customHeight="1" spans="1:26" x14ac:dyDescent="0.25">
      <c r="A290" s="83"/>
      <c r="B290" s="96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" customHeight="1" spans="1:26" x14ac:dyDescent="0.25">
      <c r="A291" s="83"/>
      <c r="B291" s="96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" customHeight="1" spans="1:26" x14ac:dyDescent="0.25">
      <c r="A292" s="83"/>
      <c r="B292" s="96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" customHeight="1" spans="1:26" x14ac:dyDescent="0.25">
      <c r="A293" s="83"/>
      <c r="B293" s="96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" customHeight="1" spans="1:26" x14ac:dyDescent="0.25">
      <c r="A294" s="83"/>
      <c r="B294" s="96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" customHeight="1" spans="1:26" x14ac:dyDescent="0.25">
      <c r="A295" s="83"/>
      <c r="B295" s="96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" customHeight="1" spans="1:26" x14ac:dyDescent="0.25">
      <c r="A296" s="83"/>
      <c r="B296" s="96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" customHeight="1" spans="1:26" x14ac:dyDescent="0.25">
      <c r="A297" s="83"/>
      <c r="B297" s="96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" customHeight="1" spans="1:26" x14ac:dyDescent="0.25">
      <c r="A298" s="83"/>
      <c r="B298" s="96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" customHeight="1" spans="1:26" x14ac:dyDescent="0.25">
      <c r="A299" s="83"/>
      <c r="B299" s="96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" customHeight="1" spans="1:26" x14ac:dyDescent="0.25">
      <c r="A300" s="83"/>
      <c r="B300" s="96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" customHeight="1" spans="1:26" x14ac:dyDescent="0.25">
      <c r="A301" s="83"/>
      <c r="B301" s="96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" customHeight="1" spans="1:26" x14ac:dyDescent="0.25">
      <c r="A302" s="83"/>
      <c r="B302" s="96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" customHeight="1" spans="1:26" x14ac:dyDescent="0.25">
      <c r="A303" s="83"/>
      <c r="B303" s="96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" customHeight="1" spans="1:26" x14ac:dyDescent="0.25">
      <c r="A304" s="83"/>
      <c r="B304" s="96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" customHeight="1" spans="1:26" x14ac:dyDescent="0.25">
      <c r="A305" s="83"/>
      <c r="B305" s="96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" customHeight="1" spans="1:26" x14ac:dyDescent="0.25">
      <c r="A306" s="83"/>
      <c r="B306" s="96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" customHeight="1" spans="1:26" x14ac:dyDescent="0.25">
      <c r="A307" s="83"/>
      <c r="B307" s="96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" customHeight="1" spans="1:26" x14ac:dyDescent="0.25">
      <c r="A308" s="83"/>
      <c r="B308" s="96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" customHeight="1" spans="1:26" x14ac:dyDescent="0.25">
      <c r="A309" s="83"/>
      <c r="B309" s="96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" customHeight="1" spans="1:26" x14ac:dyDescent="0.25">
      <c r="A310" s="83"/>
      <c r="B310" s="96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" customHeight="1" spans="1:26" x14ac:dyDescent="0.25">
      <c r="A311" s="83"/>
      <c r="B311" s="96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" customHeight="1" spans="1:26" x14ac:dyDescent="0.25">
      <c r="A312" s="83"/>
      <c r="B312" s="96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" customHeight="1" spans="1:26" x14ac:dyDescent="0.25">
      <c r="A313" s="83"/>
      <c r="B313" s="96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" customHeight="1" spans="1:26" x14ac:dyDescent="0.25">
      <c r="A314" s="83"/>
      <c r="B314" s="96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" customHeight="1" spans="1:26" x14ac:dyDescent="0.25">
      <c r="A315" s="83"/>
      <c r="B315" s="96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" customHeight="1" spans="1:26" x14ac:dyDescent="0.25">
      <c r="A316" s="83"/>
      <c r="B316" s="96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" customHeight="1" spans="1:26" x14ac:dyDescent="0.25">
      <c r="A317" s="83"/>
      <c r="B317" s="96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" customHeight="1" spans="1:26" x14ac:dyDescent="0.25">
      <c r="A318" s="83"/>
      <c r="B318" s="96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" customHeight="1" spans="1:26" x14ac:dyDescent="0.25">
      <c r="A319" s="83"/>
      <c r="B319" s="96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" customHeight="1" spans="1:26" x14ac:dyDescent="0.25">
      <c r="A320" s="83"/>
      <c r="B320" s="96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" customHeight="1" spans="1:26" x14ac:dyDescent="0.25">
      <c r="A321" s="83"/>
      <c r="B321" s="96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" customHeight="1" spans="1:26" x14ac:dyDescent="0.25">
      <c r="A322" s="83"/>
      <c r="B322" s="96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" customHeight="1" spans="1:26" x14ac:dyDescent="0.25">
      <c r="A323" s="83"/>
      <c r="B323" s="96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" customHeight="1" spans="1:26" x14ac:dyDescent="0.25">
      <c r="A324" s="83"/>
      <c r="B324" s="96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" customHeight="1" spans="1:26" x14ac:dyDescent="0.25">
      <c r="A325" s="83"/>
      <c r="B325" s="96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" customHeight="1" spans="1:26" x14ac:dyDescent="0.25">
      <c r="A326" s="83"/>
      <c r="B326" s="96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" customHeight="1" spans="1:26" x14ac:dyDescent="0.25">
      <c r="A327" s="83"/>
      <c r="B327" s="96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" customHeight="1" spans="1:26" x14ac:dyDescent="0.25">
      <c r="A328" s="83"/>
      <c r="B328" s="96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" customHeight="1" spans="1:26" x14ac:dyDescent="0.25">
      <c r="A329" s="83"/>
      <c r="B329" s="96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" customHeight="1" spans="1:26" x14ac:dyDescent="0.25">
      <c r="A330" s="83"/>
      <c r="B330" s="96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" customHeight="1" spans="1:26" x14ac:dyDescent="0.25">
      <c r="A331" s="83"/>
      <c r="B331" s="96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" customHeight="1" spans="1:26" x14ac:dyDescent="0.25">
      <c r="A332" s="83"/>
      <c r="B332" s="96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" customHeight="1" spans="1:26" x14ac:dyDescent="0.25">
      <c r="A333" s="83"/>
      <c r="B333" s="96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" customHeight="1" spans="1:26" x14ac:dyDescent="0.25">
      <c r="A334" s="83"/>
      <c r="B334" s="96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" customHeight="1" spans="1:26" x14ac:dyDescent="0.25">
      <c r="A335" s="83"/>
      <c r="B335" s="96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" customHeight="1" spans="1:26" x14ac:dyDescent="0.25">
      <c r="A336" s="83"/>
      <c r="B336" s="96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" customHeight="1" spans="1:26" x14ac:dyDescent="0.25">
      <c r="A337" s="83"/>
      <c r="B337" s="96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" customHeight="1" spans="1:26" x14ac:dyDescent="0.25">
      <c r="A338" s="83"/>
      <c r="B338" s="96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" customHeight="1" spans="1:26" x14ac:dyDescent="0.25">
      <c r="A339" s="83"/>
      <c r="B339" s="96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" customHeight="1" spans="1:26" x14ac:dyDescent="0.25">
      <c r="A340" s="83"/>
      <c r="B340" s="96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" customHeight="1" spans="1:26" x14ac:dyDescent="0.25">
      <c r="A341" s="83"/>
      <c r="B341" s="96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" customHeight="1" spans="1:26" x14ac:dyDescent="0.25">
      <c r="A342" s="83"/>
      <c r="B342" s="96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" customHeight="1" spans="1:26" x14ac:dyDescent="0.25">
      <c r="A343" s="83"/>
      <c r="B343" s="96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" customHeight="1" spans="1:26" x14ac:dyDescent="0.25">
      <c r="A344" s="83"/>
      <c r="B344" s="96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" customHeight="1" spans="1:26" x14ac:dyDescent="0.25">
      <c r="A345" s="83"/>
      <c r="B345" s="96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" customHeight="1" spans="1:26" x14ac:dyDescent="0.25">
      <c r="A346" s="83"/>
      <c r="B346" s="96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" customHeight="1" spans="1:26" x14ac:dyDescent="0.25">
      <c r="A347" s="83"/>
      <c r="B347" s="96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" customHeight="1" spans="1:26" x14ac:dyDescent="0.25">
      <c r="A348" s="83"/>
      <c r="B348" s="96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" customHeight="1" spans="1:26" x14ac:dyDescent="0.25">
      <c r="A349" s="83"/>
      <c r="B349" s="96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" customHeight="1" spans="1:26" x14ac:dyDescent="0.25">
      <c r="A350" s="83"/>
      <c r="B350" s="96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" customHeight="1" spans="1:26" x14ac:dyDescent="0.25">
      <c r="A351" s="83"/>
      <c r="B351" s="96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" customHeight="1" spans="1:26" x14ac:dyDescent="0.25">
      <c r="A352" s="83"/>
      <c r="B352" s="96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" customHeight="1" spans="1:26" x14ac:dyDescent="0.25">
      <c r="A353" s="83"/>
      <c r="B353" s="96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" customHeight="1" spans="1:26" x14ac:dyDescent="0.25">
      <c r="A354" s="83"/>
      <c r="B354" s="96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" customHeight="1" spans="1:26" x14ac:dyDescent="0.25">
      <c r="A355" s="83"/>
      <c r="B355" s="96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" customHeight="1" spans="1:26" x14ac:dyDescent="0.25">
      <c r="A356" s="83"/>
      <c r="B356" s="96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" customHeight="1" spans="1:26" x14ac:dyDescent="0.25">
      <c r="A357" s="83"/>
      <c r="B357" s="96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" customHeight="1" spans="1:26" x14ac:dyDescent="0.25">
      <c r="A358" s="83"/>
      <c r="B358" s="96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" customHeight="1" spans="1:26" x14ac:dyDescent="0.25">
      <c r="A359" s="83"/>
      <c r="B359" s="96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" customHeight="1" spans="1:26" x14ac:dyDescent="0.25">
      <c r="A360" s="83"/>
      <c r="B360" s="96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" customHeight="1" spans="1:26" x14ac:dyDescent="0.25">
      <c r="A361" s="83"/>
      <c r="B361" s="96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" customHeight="1" spans="1:26" x14ac:dyDescent="0.25">
      <c r="A362" s="83"/>
      <c r="B362" s="96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" customHeight="1" spans="1:26" x14ac:dyDescent="0.25">
      <c r="A363" s="83"/>
      <c r="B363" s="96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" customHeight="1" spans="1:26" x14ac:dyDescent="0.25">
      <c r="A364" s="83"/>
      <c r="B364" s="96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" customHeight="1" spans="1:26" x14ac:dyDescent="0.25">
      <c r="A365" s="83"/>
      <c r="B365" s="96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" customHeight="1" spans="1:26" x14ac:dyDescent="0.25">
      <c r="A366" s="83"/>
      <c r="B366" s="96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" customHeight="1" spans="1:26" x14ac:dyDescent="0.25">
      <c r="A367" s="83"/>
      <c r="B367" s="96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" customHeight="1" spans="1:26" x14ac:dyDescent="0.25">
      <c r="A368" s="83"/>
      <c r="B368" s="96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" customHeight="1" spans="1:26" x14ac:dyDescent="0.25">
      <c r="A369" s="83"/>
      <c r="B369" s="96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" customHeight="1" spans="1:26" x14ac:dyDescent="0.25">
      <c r="A370" s="83"/>
      <c r="B370" s="96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" customHeight="1" spans="1:26" x14ac:dyDescent="0.25">
      <c r="A371" s="83"/>
      <c r="B371" s="96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" customHeight="1" spans="1:26" x14ac:dyDescent="0.25">
      <c r="A372" s="83"/>
      <c r="B372" s="96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" customHeight="1" spans="1:26" x14ac:dyDescent="0.25">
      <c r="A373" s="83"/>
      <c r="B373" s="96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" customHeight="1" spans="1:26" x14ac:dyDescent="0.25">
      <c r="A374" s="83"/>
      <c r="B374" s="96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" customHeight="1" spans="1:26" x14ac:dyDescent="0.25">
      <c r="A375" s="83"/>
      <c r="B375" s="96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" customHeight="1" spans="1:26" x14ac:dyDescent="0.25">
      <c r="A376" s="83"/>
      <c r="B376" s="96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" customHeight="1" spans="1:26" x14ac:dyDescent="0.25">
      <c r="A377" s="83"/>
      <c r="B377" s="96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" customHeight="1" spans="1:26" x14ac:dyDescent="0.25">
      <c r="A378" s="83"/>
      <c r="B378" s="96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" customHeight="1" spans="1:26" x14ac:dyDescent="0.25">
      <c r="A379" s="83"/>
      <c r="B379" s="96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" customHeight="1" spans="1:26" x14ac:dyDescent="0.25">
      <c r="A380" s="83"/>
      <c r="B380" s="96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" customHeight="1" spans="1:26" x14ac:dyDescent="0.25">
      <c r="A381" s="83"/>
      <c r="B381" s="96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" customHeight="1" spans="1:26" x14ac:dyDescent="0.25">
      <c r="A382" s="83"/>
      <c r="B382" s="96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" customHeight="1" spans="1:26" x14ac:dyDescent="0.25">
      <c r="A383" s="83"/>
      <c r="B383" s="96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" customHeight="1" spans="1:26" x14ac:dyDescent="0.25">
      <c r="A384" s="83"/>
      <c r="B384" s="96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" customHeight="1" spans="1:26" x14ac:dyDescent="0.25">
      <c r="A385" s="83"/>
      <c r="B385" s="96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" customHeight="1" spans="1:26" x14ac:dyDescent="0.25">
      <c r="A386" s="83"/>
      <c r="B386" s="96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" customHeight="1" spans="1:26" x14ac:dyDescent="0.25">
      <c r="A387" s="83"/>
      <c r="B387" s="96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" customHeight="1" spans="1:26" x14ac:dyDescent="0.25">
      <c r="A388" s="83"/>
      <c r="B388" s="96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" customHeight="1" spans="1:26" x14ac:dyDescent="0.25">
      <c r="A389" s="83"/>
      <c r="B389" s="96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" customHeight="1" spans="1:26" x14ac:dyDescent="0.25">
      <c r="A390" s="83"/>
      <c r="B390" s="96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" customHeight="1" spans="1:26" x14ac:dyDescent="0.25">
      <c r="A391" s="83"/>
      <c r="B391" s="96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" customHeight="1" spans="1:26" x14ac:dyDescent="0.25">
      <c r="A392" s="83"/>
      <c r="B392" s="96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" customHeight="1" spans="1:26" x14ac:dyDescent="0.25">
      <c r="A393" s="83"/>
      <c r="B393" s="96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" customHeight="1" spans="1:26" x14ac:dyDescent="0.25">
      <c r="A394" s="83"/>
      <c r="B394" s="96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" customHeight="1" spans="1:26" x14ac:dyDescent="0.25">
      <c r="A395" s="83"/>
      <c r="B395" s="96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" customHeight="1" spans="1:26" x14ac:dyDescent="0.25">
      <c r="A396" s="83"/>
      <c r="B396" s="96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" customHeight="1" spans="1:26" x14ac:dyDescent="0.25">
      <c r="A397" s="83"/>
      <c r="B397" s="96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" customHeight="1" spans="1:26" x14ac:dyDescent="0.25">
      <c r="A398" s="83"/>
      <c r="B398" s="96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" customHeight="1" spans="1:26" x14ac:dyDescent="0.25">
      <c r="A399" s="83"/>
      <c r="B399" s="96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" customHeight="1" spans="1:26" x14ac:dyDescent="0.25">
      <c r="A400" s="83"/>
      <c r="B400" s="96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" customHeight="1" spans="1:26" x14ac:dyDescent="0.25">
      <c r="A401" s="83"/>
      <c r="B401" s="96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" customHeight="1" spans="1:26" x14ac:dyDescent="0.25">
      <c r="A402" s="83"/>
      <c r="B402" s="96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" customHeight="1" spans="1:26" x14ac:dyDescent="0.25">
      <c r="A403" s="83"/>
      <c r="B403" s="96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" customHeight="1" spans="1:26" x14ac:dyDescent="0.25">
      <c r="A404" s="83"/>
      <c r="B404" s="96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" customHeight="1" spans="1:26" x14ac:dyDescent="0.25">
      <c r="A405" s="83"/>
      <c r="B405" s="96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" customHeight="1" spans="1:26" x14ac:dyDescent="0.25">
      <c r="A406" s="83"/>
      <c r="B406" s="96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" customHeight="1" spans="1:26" x14ac:dyDescent="0.25">
      <c r="A407" s="83"/>
      <c r="B407" s="96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" customHeight="1" spans="1:26" x14ac:dyDescent="0.25">
      <c r="A408" s="83"/>
      <c r="B408" s="96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" customHeight="1" spans="1:26" x14ac:dyDescent="0.25">
      <c r="A409" s="83"/>
      <c r="B409" s="96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" customHeight="1" spans="1:26" x14ac:dyDescent="0.25">
      <c r="A410" s="83"/>
      <c r="B410" s="96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" customHeight="1" spans="1:26" x14ac:dyDescent="0.25">
      <c r="A411" s="83"/>
      <c r="B411" s="96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" customHeight="1" spans="1:26" x14ac:dyDescent="0.25">
      <c r="A412" s="83"/>
      <c r="B412" s="96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" customHeight="1" spans="1:26" x14ac:dyDescent="0.25">
      <c r="A413" s="83"/>
      <c r="B413" s="96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" customHeight="1" spans="1:26" x14ac:dyDescent="0.25">
      <c r="A414" s="83"/>
      <c r="B414" s="96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" customHeight="1" spans="1:26" x14ac:dyDescent="0.25">
      <c r="A415" s="83"/>
      <c r="B415" s="96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" customHeight="1" spans="1:26" x14ac:dyDescent="0.25">
      <c r="A416" s="83"/>
      <c r="B416" s="96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" customHeight="1" spans="1:26" x14ac:dyDescent="0.25">
      <c r="A417" s="83"/>
      <c r="B417" s="96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" customHeight="1" spans="1:26" x14ac:dyDescent="0.25">
      <c r="A418" s="83"/>
      <c r="B418" s="96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" customHeight="1" spans="1:26" x14ac:dyDescent="0.25">
      <c r="A419" s="83"/>
      <c r="B419" s="96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" customHeight="1" spans="1:26" x14ac:dyDescent="0.25">
      <c r="A420" s="83"/>
      <c r="B420" s="96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" customHeight="1" spans="1:26" x14ac:dyDescent="0.25">
      <c r="A421" s="83"/>
      <c r="B421" s="96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" customHeight="1" spans="1:26" x14ac:dyDescent="0.25">
      <c r="A422" s="83"/>
      <c r="B422" s="96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" customHeight="1" spans="1:26" x14ac:dyDescent="0.25">
      <c r="A423" s="83"/>
      <c r="B423" s="96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" customHeight="1" spans="1:26" x14ac:dyDescent="0.25">
      <c r="A424" s="83"/>
      <c r="B424" s="96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" customHeight="1" spans="1:26" x14ac:dyDescent="0.25">
      <c r="A425" s="83"/>
      <c r="B425" s="96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" customHeight="1" spans="1:26" x14ac:dyDescent="0.25">
      <c r="A426" s="83"/>
      <c r="B426" s="96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" customHeight="1" spans="1:26" x14ac:dyDescent="0.25">
      <c r="A427" s="83"/>
      <c r="B427" s="96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" customHeight="1" spans="1:26" x14ac:dyDescent="0.25">
      <c r="A428" s="83"/>
      <c r="B428" s="96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" customHeight="1" spans="1:26" x14ac:dyDescent="0.25">
      <c r="A429" s="83"/>
      <c r="B429" s="96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" customHeight="1" spans="1:26" x14ac:dyDescent="0.25">
      <c r="A430" s="83"/>
      <c r="B430" s="96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" customHeight="1" spans="1:26" x14ac:dyDescent="0.25">
      <c r="A431" s="83"/>
      <c r="B431" s="96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" customHeight="1" spans="1:26" x14ac:dyDescent="0.25">
      <c r="A432" s="83"/>
      <c r="B432" s="96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" customHeight="1" spans="1:26" x14ac:dyDescent="0.25">
      <c r="A433" s="83"/>
      <c r="B433" s="96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" customHeight="1" spans="1:26" x14ac:dyDescent="0.25">
      <c r="A434" s="83"/>
      <c r="B434" s="96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" customHeight="1" spans="1:26" x14ac:dyDescent="0.25">
      <c r="A435" s="83"/>
      <c r="B435" s="96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" customHeight="1" spans="1:26" x14ac:dyDescent="0.25">
      <c r="A436" s="83"/>
      <c r="B436" s="96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" customHeight="1" spans="1:26" x14ac:dyDescent="0.25">
      <c r="A437" s="83"/>
      <c r="B437" s="96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" customHeight="1" spans="1:26" x14ac:dyDescent="0.25">
      <c r="A438" s="83"/>
      <c r="B438" s="96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" customHeight="1" spans="1:26" x14ac:dyDescent="0.25">
      <c r="A439" s="83"/>
      <c r="B439" s="96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" customHeight="1" spans="1:26" x14ac:dyDescent="0.25">
      <c r="A440" s="83"/>
      <c r="B440" s="96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" customHeight="1" spans="1:26" x14ac:dyDescent="0.25">
      <c r="A441" s="83"/>
      <c r="B441" s="96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" customHeight="1" spans="1:26" x14ac:dyDescent="0.25">
      <c r="A442" s="83"/>
      <c r="B442" s="96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" customHeight="1" spans="1:26" x14ac:dyDescent="0.25">
      <c r="A443" s="83"/>
      <c r="B443" s="96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" customHeight="1" spans="1:26" x14ac:dyDescent="0.25">
      <c r="A444" s="83"/>
      <c r="B444" s="96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" customHeight="1" spans="1:26" x14ac:dyDescent="0.25">
      <c r="A445" s="83"/>
      <c r="B445" s="96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" customHeight="1" spans="1:26" x14ac:dyDescent="0.25">
      <c r="A446" s="83"/>
      <c r="B446" s="96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" customHeight="1" spans="1:26" x14ac:dyDescent="0.25">
      <c r="A447" s="83"/>
      <c r="B447" s="96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" customHeight="1" spans="1:26" x14ac:dyDescent="0.25">
      <c r="A448" s="83"/>
      <c r="B448" s="96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" customHeight="1" spans="1:26" x14ac:dyDescent="0.25">
      <c r="A449" s="83"/>
      <c r="B449" s="96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" customHeight="1" spans="1:26" x14ac:dyDescent="0.25">
      <c r="A450" s="83"/>
      <c r="B450" s="96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" customHeight="1" spans="1:26" x14ac:dyDescent="0.25">
      <c r="A451" s="83"/>
      <c r="B451" s="96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" customHeight="1" spans="1:26" x14ac:dyDescent="0.25">
      <c r="A452" s="83"/>
      <c r="B452" s="96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" customHeight="1" spans="1:26" x14ac:dyDescent="0.25">
      <c r="A453" s="83"/>
      <c r="B453" s="96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" customHeight="1" spans="1:26" x14ac:dyDescent="0.25">
      <c r="A454" s="83"/>
      <c r="B454" s="96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" customHeight="1" spans="1:26" x14ac:dyDescent="0.25">
      <c r="A455" s="83"/>
      <c r="B455" s="96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" customHeight="1" spans="1:26" x14ac:dyDescent="0.25">
      <c r="A456" s="83"/>
      <c r="B456" s="96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" customHeight="1" spans="1:26" x14ac:dyDescent="0.25">
      <c r="A457" s="83"/>
      <c r="B457" s="96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" customHeight="1" spans="1:26" x14ac:dyDescent="0.25">
      <c r="A458" s="83"/>
      <c r="B458" s="96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" customHeight="1" spans="1:26" x14ac:dyDescent="0.25">
      <c r="A459" s="83"/>
      <c r="B459" s="96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" customHeight="1" spans="1:26" x14ac:dyDescent="0.25">
      <c r="A460" s="83"/>
      <c r="B460" s="96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" customHeight="1" spans="1:26" x14ac:dyDescent="0.25">
      <c r="A461" s="83"/>
      <c r="B461" s="96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" customHeight="1" spans="1:26" x14ac:dyDescent="0.25">
      <c r="A462" s="83"/>
      <c r="B462" s="96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" customHeight="1" spans="1:26" x14ac:dyDescent="0.25">
      <c r="A463" s="83"/>
      <c r="B463" s="96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" customHeight="1" spans="1:26" x14ac:dyDescent="0.25">
      <c r="A464" s="83"/>
      <c r="B464" s="96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" customHeight="1" spans="1:26" x14ac:dyDescent="0.25">
      <c r="A465" s="83"/>
      <c r="B465" s="96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" customHeight="1" spans="1:26" x14ac:dyDescent="0.25">
      <c r="A466" s="83"/>
      <c r="B466" s="96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" customHeight="1" spans="1:26" x14ac:dyDescent="0.25">
      <c r="A467" s="83"/>
      <c r="B467" s="96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" customHeight="1" spans="1:26" x14ac:dyDescent="0.25">
      <c r="A468" s="83"/>
      <c r="B468" s="96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" customHeight="1" spans="1:26" x14ac:dyDescent="0.25">
      <c r="A469" s="83"/>
      <c r="B469" s="96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" customHeight="1" spans="1:26" x14ac:dyDescent="0.25">
      <c r="A470" s="83"/>
      <c r="B470" s="96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" customHeight="1" spans="1:26" x14ac:dyDescent="0.25">
      <c r="A471" s="83"/>
      <c r="B471" s="96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" customHeight="1" spans="1:26" x14ac:dyDescent="0.25">
      <c r="A472" s="83"/>
      <c r="B472" s="96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" customHeight="1" spans="1:26" x14ac:dyDescent="0.25">
      <c r="A473" s="83"/>
      <c r="B473" s="96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" customHeight="1" spans="1:26" x14ac:dyDescent="0.25">
      <c r="A474" s="83"/>
      <c r="B474" s="96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" customHeight="1" spans="1:26" x14ac:dyDescent="0.25">
      <c r="A475" s="83"/>
      <c r="B475" s="96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" customHeight="1" spans="1:26" x14ac:dyDescent="0.25">
      <c r="A476" s="83"/>
      <c r="B476" s="96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" customHeight="1" spans="1:26" x14ac:dyDescent="0.25">
      <c r="A477" s="83"/>
      <c r="B477" s="96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" customHeight="1" spans="1:26" x14ac:dyDescent="0.25">
      <c r="A478" s="83"/>
      <c r="B478" s="96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" customHeight="1" spans="1:26" x14ac:dyDescent="0.25">
      <c r="A479" s="83"/>
      <c r="B479" s="96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" customHeight="1" spans="1:26" x14ac:dyDescent="0.25">
      <c r="A480" s="83"/>
      <c r="B480" s="96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" customHeight="1" spans="1:26" x14ac:dyDescent="0.25">
      <c r="A481" s="83"/>
      <c r="B481" s="96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" customHeight="1" spans="1:26" x14ac:dyDescent="0.25">
      <c r="A482" s="83"/>
      <c r="B482" s="96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" customHeight="1" spans="1:26" x14ac:dyDescent="0.25">
      <c r="A483" s="83"/>
      <c r="B483" s="96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" customHeight="1" spans="1:26" x14ac:dyDescent="0.25">
      <c r="A484" s="83"/>
      <c r="B484" s="96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" customHeight="1" spans="1:26" x14ac:dyDescent="0.25">
      <c r="A485" s="83"/>
      <c r="B485" s="96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" customHeight="1" spans="1:26" x14ac:dyDescent="0.25">
      <c r="A486" s="83"/>
      <c r="B486" s="96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" customHeight="1" spans="1:26" x14ac:dyDescent="0.25">
      <c r="A487" s="83"/>
      <c r="B487" s="96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" customHeight="1" spans="1:26" x14ac:dyDescent="0.25">
      <c r="A488" s="83"/>
      <c r="B488" s="96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" customHeight="1" spans="1:26" x14ac:dyDescent="0.25">
      <c r="A489" s="83"/>
      <c r="B489" s="96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" customHeight="1" spans="1:26" x14ac:dyDescent="0.25">
      <c r="A490" s="83"/>
      <c r="B490" s="96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" customHeight="1" spans="1:26" x14ac:dyDescent="0.25">
      <c r="A491" s="83"/>
      <c r="B491" s="96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" customHeight="1" spans="1:26" x14ac:dyDescent="0.25">
      <c r="A492" s="83"/>
      <c r="B492" s="96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" customHeight="1" spans="1:26" x14ac:dyDescent="0.25">
      <c r="A493" s="83"/>
      <c r="B493" s="96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" customHeight="1" spans="1:26" x14ac:dyDescent="0.25">
      <c r="A494" s="83"/>
      <c r="B494" s="96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" customHeight="1" spans="1:26" x14ac:dyDescent="0.25">
      <c r="A495" s="83"/>
      <c r="B495" s="96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" customHeight="1" spans="1:26" x14ac:dyDescent="0.25">
      <c r="A496" s="83"/>
      <c r="B496" s="96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" customHeight="1" spans="1:26" x14ac:dyDescent="0.25">
      <c r="A497" s="83"/>
      <c r="B497" s="96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" customHeight="1" spans="1:26" x14ac:dyDescent="0.25">
      <c r="A498" s="83"/>
      <c r="B498" s="96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" customHeight="1" spans="1:26" x14ac:dyDescent="0.25">
      <c r="A499" s="83"/>
      <c r="B499" s="96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" customHeight="1" spans="1:26" x14ac:dyDescent="0.25">
      <c r="A500" s="83"/>
      <c r="B500" s="96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" customHeight="1" spans="1:26" x14ac:dyDescent="0.25">
      <c r="A501" s="83"/>
      <c r="B501" s="96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" customHeight="1" spans="1:26" x14ac:dyDescent="0.25">
      <c r="A502" s="83"/>
      <c r="B502" s="96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" customHeight="1" spans="1:26" x14ac:dyDescent="0.25">
      <c r="A503" s="83"/>
      <c r="B503" s="96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" customHeight="1" spans="1:26" x14ac:dyDescent="0.25">
      <c r="A504" s="83"/>
      <c r="B504" s="96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" customHeight="1" spans="1:26" x14ac:dyDescent="0.25">
      <c r="A505" s="83"/>
      <c r="B505" s="96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" customHeight="1" spans="1:26" x14ac:dyDescent="0.25">
      <c r="A506" s="83"/>
      <c r="B506" s="96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" customHeight="1" spans="1:26" x14ac:dyDescent="0.25">
      <c r="A507" s="83"/>
      <c r="B507" s="96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" customHeight="1" spans="1:26" x14ac:dyDescent="0.25">
      <c r="A508" s="83"/>
      <c r="B508" s="96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" customHeight="1" spans="1:26" x14ac:dyDescent="0.25">
      <c r="A509" s="83"/>
      <c r="B509" s="96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" customHeight="1" spans="1:26" x14ac:dyDescent="0.25">
      <c r="A510" s="83"/>
      <c r="B510" s="96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" customHeight="1" spans="1:26" x14ac:dyDescent="0.25">
      <c r="A511" s="83"/>
      <c r="B511" s="96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" customHeight="1" spans="1:26" x14ac:dyDescent="0.25">
      <c r="A512" s="83"/>
      <c r="B512" s="96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" customHeight="1" spans="1:26" x14ac:dyDescent="0.25">
      <c r="A513" s="83"/>
      <c r="B513" s="96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" customHeight="1" spans="1:26" x14ac:dyDescent="0.25">
      <c r="A514" s="83"/>
      <c r="B514" s="96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" customHeight="1" spans="1:26" x14ac:dyDescent="0.25">
      <c r="A515" s="83"/>
      <c r="B515" s="96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" customHeight="1" spans="1:26" x14ac:dyDescent="0.25">
      <c r="A516" s="83"/>
      <c r="B516" s="96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" customHeight="1" spans="1:26" x14ac:dyDescent="0.25">
      <c r="A517" s="83"/>
      <c r="B517" s="96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" customHeight="1" spans="1:26" x14ac:dyDescent="0.25">
      <c r="A518" s="83"/>
      <c r="B518" s="96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" customHeight="1" spans="1:26" x14ac:dyDescent="0.25">
      <c r="A519" s="83"/>
      <c r="B519" s="96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" customHeight="1" spans="1:26" x14ac:dyDescent="0.25">
      <c r="A520" s="83"/>
      <c r="B520" s="96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" customHeight="1" spans="1:26" x14ac:dyDescent="0.25">
      <c r="A521" s="83"/>
      <c r="B521" s="96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" customHeight="1" spans="1:26" x14ac:dyDescent="0.25">
      <c r="A522" s="83"/>
      <c r="B522" s="96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" customHeight="1" spans="1:26" x14ac:dyDescent="0.25">
      <c r="A523" s="83"/>
      <c r="B523" s="96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" customHeight="1" spans="1:26" x14ac:dyDescent="0.25">
      <c r="A524" s="83"/>
      <c r="B524" s="96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" customHeight="1" spans="1:26" x14ac:dyDescent="0.25">
      <c r="A525" s="83"/>
      <c r="B525" s="96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" customHeight="1" spans="1:26" x14ac:dyDescent="0.25">
      <c r="A526" s="83"/>
      <c r="B526" s="96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" customHeight="1" spans="1:26" x14ac:dyDescent="0.25">
      <c r="A527" s="83"/>
      <c r="B527" s="96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" customHeight="1" spans="1:26" x14ac:dyDescent="0.25">
      <c r="A528" s="83"/>
      <c r="B528" s="96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" customHeight="1" spans="1:26" x14ac:dyDescent="0.25">
      <c r="A529" s="83"/>
      <c r="B529" s="96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" customHeight="1" spans="1:26" x14ac:dyDescent="0.25">
      <c r="A530" s="83"/>
      <c r="B530" s="96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" customHeight="1" spans="1:26" x14ac:dyDescent="0.25">
      <c r="A531" s="83"/>
      <c r="B531" s="96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" customHeight="1" spans="1:26" x14ac:dyDescent="0.25">
      <c r="A532" s="83"/>
      <c r="B532" s="96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" customHeight="1" spans="1:26" x14ac:dyDescent="0.25">
      <c r="A533" s="83"/>
      <c r="B533" s="96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" customHeight="1" spans="1:26" x14ac:dyDescent="0.25">
      <c r="A534" s="83"/>
      <c r="B534" s="96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" customHeight="1" spans="1:26" x14ac:dyDescent="0.25">
      <c r="A535" s="83"/>
      <c r="B535" s="96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" customHeight="1" spans="1:26" x14ac:dyDescent="0.25">
      <c r="A536" s="83"/>
      <c r="B536" s="96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" customHeight="1" spans="1:26" x14ac:dyDescent="0.25">
      <c r="A537" s="83"/>
      <c r="B537" s="96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" customHeight="1" spans="1:26" x14ac:dyDescent="0.25">
      <c r="A538" s="83"/>
      <c r="B538" s="96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" customHeight="1" spans="1:26" x14ac:dyDescent="0.25">
      <c r="A539" s="83"/>
      <c r="B539" s="96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" customHeight="1" spans="1:26" x14ac:dyDescent="0.25">
      <c r="A540" s="83"/>
      <c r="B540" s="96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" customHeight="1" spans="1:26" x14ac:dyDescent="0.25">
      <c r="A541" s="83"/>
      <c r="B541" s="96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" customHeight="1" spans="1:26" x14ac:dyDescent="0.25">
      <c r="A542" s="83"/>
      <c r="B542" s="96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" customHeight="1" spans="1:26" x14ac:dyDescent="0.25">
      <c r="A543" s="83"/>
      <c r="B543" s="96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" customHeight="1" spans="1:26" x14ac:dyDescent="0.25">
      <c r="A544" s="83"/>
      <c r="B544" s="96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" customHeight="1" spans="1:26" x14ac:dyDescent="0.25">
      <c r="A545" s="83"/>
      <c r="B545" s="96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" customHeight="1" spans="1:26" x14ac:dyDescent="0.25">
      <c r="A546" s="83"/>
      <c r="B546" s="96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" customHeight="1" spans="1:26" x14ac:dyDescent="0.25">
      <c r="A547" s="83"/>
      <c r="B547" s="96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" customHeight="1" spans="1:26" x14ac:dyDescent="0.25">
      <c r="A548" s="83"/>
      <c r="B548" s="96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" customHeight="1" spans="1:26" x14ac:dyDescent="0.25">
      <c r="A549" s="83"/>
      <c r="B549" s="96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" customHeight="1" spans="1:26" x14ac:dyDescent="0.25">
      <c r="A550" s="83"/>
      <c r="B550" s="96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" customHeight="1" spans="1:26" x14ac:dyDescent="0.25">
      <c r="A551" s="83"/>
      <c r="B551" s="96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" customHeight="1" spans="1:26" x14ac:dyDescent="0.25">
      <c r="A552" s="83"/>
      <c r="B552" s="96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" customHeight="1" spans="1:26" x14ac:dyDescent="0.25">
      <c r="A553" s="83"/>
      <c r="B553" s="96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" customHeight="1" spans="1:26" x14ac:dyDescent="0.25">
      <c r="A554" s="83"/>
      <c r="B554" s="96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" customHeight="1" spans="1:26" x14ac:dyDescent="0.25">
      <c r="A555" s="83"/>
      <c r="B555" s="96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" customHeight="1" spans="1:26" x14ac:dyDescent="0.25">
      <c r="A556" s="83"/>
      <c r="B556" s="96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" customHeight="1" spans="1:26" x14ac:dyDescent="0.25">
      <c r="A557" s="83"/>
      <c r="B557" s="96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" customHeight="1" spans="1:26" x14ac:dyDescent="0.25">
      <c r="A558" s="83"/>
      <c r="B558" s="96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" customHeight="1" spans="1:26" x14ac:dyDescent="0.25">
      <c r="A559" s="83"/>
      <c r="B559" s="96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" customHeight="1" spans="1:26" x14ac:dyDescent="0.25">
      <c r="A560" s="83"/>
      <c r="B560" s="96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" customHeight="1" spans="1:26" x14ac:dyDescent="0.25">
      <c r="A561" s="83"/>
      <c r="B561" s="96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" customHeight="1" spans="1:26" x14ac:dyDescent="0.25">
      <c r="A562" s="83"/>
      <c r="B562" s="96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" customHeight="1" spans="1:26" x14ac:dyDescent="0.25">
      <c r="A563" s="83"/>
      <c r="B563" s="96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" customHeight="1" spans="1:26" x14ac:dyDescent="0.25">
      <c r="A564" s="83"/>
      <c r="B564" s="96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" customHeight="1" spans="1:26" x14ac:dyDescent="0.25">
      <c r="A565" s="83"/>
      <c r="B565" s="96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" customHeight="1" spans="1:26" x14ac:dyDescent="0.25">
      <c r="A566" s="83"/>
      <c r="B566" s="96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" customHeight="1" spans="1:26" x14ac:dyDescent="0.25">
      <c r="A567" s="83"/>
      <c r="B567" s="96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" customHeight="1" spans="1:26" x14ac:dyDescent="0.25">
      <c r="A568" s="83"/>
      <c r="B568" s="96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" customHeight="1" spans="1:26" x14ac:dyDescent="0.25">
      <c r="A569" s="83"/>
      <c r="B569" s="96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" customHeight="1" spans="1:26" x14ac:dyDescent="0.25">
      <c r="A570" s="83"/>
      <c r="B570" s="96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" customHeight="1" spans="1:26" x14ac:dyDescent="0.25">
      <c r="A571" s="83"/>
      <c r="B571" s="96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" customHeight="1" spans="1:26" x14ac:dyDescent="0.25">
      <c r="A572" s="83"/>
      <c r="B572" s="96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" customHeight="1" spans="1:26" x14ac:dyDescent="0.25">
      <c r="A573" s="83"/>
      <c r="B573" s="96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" customHeight="1" spans="1:26" x14ac:dyDescent="0.25">
      <c r="A574" s="83"/>
      <c r="B574" s="96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" customHeight="1" spans="1:26" x14ac:dyDescent="0.25">
      <c r="A575" s="83"/>
      <c r="B575" s="96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" customHeight="1" spans="1:26" x14ac:dyDescent="0.25">
      <c r="A576" s="83"/>
      <c r="B576" s="96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" customHeight="1" spans="1:26" x14ac:dyDescent="0.25">
      <c r="A577" s="83"/>
      <c r="B577" s="96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" customHeight="1" spans="1:26" x14ac:dyDescent="0.25">
      <c r="A578" s="83"/>
      <c r="B578" s="96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" customHeight="1" spans="1:26" x14ac:dyDescent="0.25">
      <c r="A579" s="83"/>
      <c r="B579" s="96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" customHeight="1" spans="1:26" x14ac:dyDescent="0.25">
      <c r="A580" s="83"/>
      <c r="B580" s="96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" customHeight="1" spans="1:26" x14ac:dyDescent="0.25">
      <c r="A581" s="83"/>
      <c r="B581" s="96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" customHeight="1" spans="1:26" x14ac:dyDescent="0.25">
      <c r="A582" s="83"/>
      <c r="B582" s="96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" customHeight="1" spans="1:26" x14ac:dyDescent="0.25">
      <c r="A583" s="83"/>
      <c r="B583" s="96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" customHeight="1" spans="1:26" x14ac:dyDescent="0.25">
      <c r="A584" s="83"/>
      <c r="B584" s="96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" customHeight="1" spans="1:26" x14ac:dyDescent="0.25">
      <c r="A585" s="83"/>
      <c r="B585" s="96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" customHeight="1" spans="1:26" x14ac:dyDescent="0.25">
      <c r="A586" s="83"/>
      <c r="B586" s="96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" customHeight="1" spans="1:26" x14ac:dyDescent="0.25">
      <c r="A587" s="83"/>
      <c r="B587" s="96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" customHeight="1" spans="1:26" x14ac:dyDescent="0.25">
      <c r="A588" s="83"/>
      <c r="B588" s="96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" customHeight="1" spans="1:26" x14ac:dyDescent="0.25">
      <c r="A589" s="83"/>
      <c r="B589" s="96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" customHeight="1" spans="1:26" x14ac:dyDescent="0.25">
      <c r="A590" s="83"/>
      <c r="B590" s="96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" customHeight="1" spans="1:26" x14ac:dyDescent="0.25">
      <c r="A591" s="83"/>
      <c r="B591" s="96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" customHeight="1" spans="1:26" x14ac:dyDescent="0.25">
      <c r="A592" s="83"/>
      <c r="B592" s="96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" customHeight="1" spans="1:26" x14ac:dyDescent="0.25">
      <c r="A593" s="83"/>
      <c r="B593" s="96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" customHeight="1" spans="1:26" x14ac:dyDescent="0.25">
      <c r="A594" s="83"/>
      <c r="B594" s="96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" customHeight="1" spans="1:26" x14ac:dyDescent="0.25">
      <c r="A595" s="83"/>
      <c r="B595" s="96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" customHeight="1" spans="1:26" x14ac:dyDescent="0.25">
      <c r="A596" s="83"/>
      <c r="B596" s="96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" customHeight="1" spans="1:26" x14ac:dyDescent="0.25">
      <c r="A597" s="83"/>
      <c r="B597" s="96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" customHeight="1" spans="1:26" x14ac:dyDescent="0.25">
      <c r="A598" s="83"/>
      <c r="B598" s="96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" customHeight="1" spans="1:26" x14ac:dyDescent="0.25">
      <c r="A599" s="83"/>
      <c r="B599" s="96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" customHeight="1" spans="1:26" x14ac:dyDescent="0.25">
      <c r="A600" s="83"/>
      <c r="B600" s="96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" customHeight="1" spans="1:26" x14ac:dyDescent="0.25">
      <c r="A601" s="83"/>
      <c r="B601" s="96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" customHeight="1" spans="1:26" x14ac:dyDescent="0.25">
      <c r="A602" s="83"/>
      <c r="B602" s="96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" customHeight="1" spans="1:26" x14ac:dyDescent="0.25">
      <c r="A603" s="83"/>
      <c r="B603" s="96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" customHeight="1" spans="1:26" x14ac:dyDescent="0.25">
      <c r="A604" s="83"/>
      <c r="B604" s="96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" customHeight="1" spans="1:26" x14ac:dyDescent="0.25">
      <c r="A605" s="83"/>
      <c r="B605" s="96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" customHeight="1" spans="1:26" x14ac:dyDescent="0.25">
      <c r="A606" s="83"/>
      <c r="B606" s="96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" customHeight="1" spans="1:26" x14ac:dyDescent="0.25">
      <c r="A607" s="83"/>
      <c r="B607" s="96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" customHeight="1" spans="1:26" x14ac:dyDescent="0.25">
      <c r="A608" s="83"/>
      <c r="B608" s="96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" customHeight="1" spans="1:26" x14ac:dyDescent="0.25">
      <c r="A609" s="83"/>
      <c r="B609" s="96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" customHeight="1" spans="1:26" x14ac:dyDescent="0.25">
      <c r="A610" s="83"/>
      <c r="B610" s="96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" customHeight="1" spans="1:26" x14ac:dyDescent="0.25">
      <c r="A611" s="83"/>
      <c r="B611" s="96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" customHeight="1" spans="1:26" x14ac:dyDescent="0.25">
      <c r="A612" s="83"/>
      <c r="B612" s="96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" customHeight="1" spans="1:26" x14ac:dyDescent="0.25">
      <c r="A613" s="83"/>
      <c r="B613" s="96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" customHeight="1" spans="1:26" x14ac:dyDescent="0.25">
      <c r="A614" s="83"/>
      <c r="B614" s="96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" customHeight="1" spans="1:26" x14ac:dyDescent="0.25">
      <c r="A615" s="83"/>
      <c r="B615" s="96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" customHeight="1" spans="1:26" x14ac:dyDescent="0.25">
      <c r="A616" s="83"/>
      <c r="B616" s="96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" customHeight="1" spans="1:26" x14ac:dyDescent="0.25">
      <c r="A617" s="83"/>
      <c r="B617" s="96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" customHeight="1" spans="1:26" x14ac:dyDescent="0.25">
      <c r="A618" s="83"/>
      <c r="B618" s="96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" customHeight="1" spans="1:26" x14ac:dyDescent="0.25">
      <c r="A619" s="83"/>
      <c r="B619" s="96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" customHeight="1" spans="1:26" x14ac:dyDescent="0.25">
      <c r="A620" s="83"/>
      <c r="B620" s="96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" customHeight="1" spans="1:26" x14ac:dyDescent="0.25">
      <c r="A621" s="83"/>
      <c r="B621" s="96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" customHeight="1" spans="1:26" x14ac:dyDescent="0.25">
      <c r="A622" s="83"/>
      <c r="B622" s="96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" customHeight="1" spans="1:26" x14ac:dyDescent="0.25">
      <c r="A623" s="83"/>
      <c r="B623" s="96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" customHeight="1" spans="1:26" x14ac:dyDescent="0.25">
      <c r="A624" s="83"/>
      <c r="B624" s="96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" customHeight="1" spans="1:26" x14ac:dyDescent="0.25">
      <c r="A625" s="83"/>
      <c r="B625" s="96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" customHeight="1" spans="1:26" x14ac:dyDescent="0.25">
      <c r="A626" s="83"/>
      <c r="B626" s="96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" customHeight="1" spans="1:26" x14ac:dyDescent="0.25">
      <c r="A627" s="83"/>
      <c r="B627" s="96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1"/>
  <sheetViews>
    <sheetView workbookViewId="0" zoomScale="80" zoomScaleNormal="80" view="normal">
      <pane ySplit="1" topLeftCell="A2" activePane="bottomLeft" state="frozen"/>
      <selection pane="bottomLeft" activeCell="B3" sqref="B3"/>
    </sheetView>
  </sheetViews>
  <sheetFormatPr defaultRowHeight="15" outlineLevelRow="0" outlineLevelCol="0" x14ac:dyDescent="0"/>
  <cols>
    <col min="1" max="1" width="3.33" customWidth="1"/>
    <col min="2" max="3" width="11.2" customWidth="1"/>
    <col min="4" max="4" width="19.67" customWidth="1"/>
    <col min="5" max="6" width="11.2" customWidth="1"/>
    <col min="7" max="7" width="14.79" customWidth="1"/>
    <col min="8" max="8" width="34.44" customWidth="1"/>
    <col min="9" max="1025" width="11.2" customWidth="1"/>
  </cols>
  <sheetData>
    <row r="1" ht="15" customHeight="1" spans="1:8" x14ac:dyDescent="0.25">
      <c r="A1" s="97" t="s">
        <v>492</v>
      </c>
      <c r="B1" s="97" t="s">
        <v>493</v>
      </c>
      <c r="C1" s="97" t="s">
        <v>494</v>
      </c>
      <c r="D1" s="97" t="s">
        <v>495</v>
      </c>
      <c r="E1" s="97" t="s">
        <v>496</v>
      </c>
      <c r="F1" s="97" t="s">
        <v>497</v>
      </c>
      <c r="G1" s="97" t="s">
        <v>498</v>
      </c>
      <c r="H1" s="98" t="s">
        <v>499</v>
      </c>
    </row>
    <row r="2" ht="88.5" customHeight="1" spans="1:8" x14ac:dyDescent="0.25">
      <c r="A2" s="99"/>
      <c r="B2" s="99"/>
      <c r="C2" s="99"/>
      <c r="D2" s="100"/>
      <c r="E2" s="99"/>
      <c r="F2" s="99"/>
      <c r="G2" s="99"/>
      <c r="H2" s="99"/>
    </row>
    <row r="3" ht="88.5" customHeight="1" spans="1:8" x14ac:dyDescent="0.25">
      <c r="A3" s="99"/>
      <c r="B3" s="99"/>
      <c r="C3" s="99"/>
      <c r="D3" s="100"/>
      <c r="E3" s="99"/>
      <c r="F3" s="99"/>
      <c r="G3" s="99"/>
      <c r="H3" s="99"/>
    </row>
    <row r="4" ht="88.5" customHeight="1" spans="1:8" x14ac:dyDescent="0.25">
      <c r="A4" s="99"/>
      <c r="B4" s="99"/>
      <c r="C4" s="99"/>
      <c r="D4" s="100"/>
      <c r="E4" s="99"/>
      <c r="F4" s="99"/>
      <c r="G4" s="99"/>
      <c r="H4" s="99"/>
    </row>
    <row r="5" ht="88.5" customHeight="1" spans="1:8" x14ac:dyDescent="0.25">
      <c r="A5" s="99"/>
      <c r="B5" s="99"/>
      <c r="C5" s="99"/>
      <c r="D5" s="100"/>
      <c r="E5" s="99"/>
      <c r="F5" s="99"/>
      <c r="G5" s="99"/>
      <c r="H5" s="99"/>
    </row>
    <row r="6" ht="88.5" customHeight="1" spans="1:8" x14ac:dyDescent="0.25">
      <c r="A6" s="99"/>
      <c r="B6" s="99"/>
      <c r="C6" s="99"/>
      <c r="D6" s="100"/>
      <c r="E6" s="99"/>
      <c r="F6" s="99"/>
      <c r="G6" s="99"/>
      <c r="H6" s="99"/>
    </row>
    <row r="7" ht="88.5" customHeight="1" spans="1:8" x14ac:dyDescent="0.25">
      <c r="A7" s="99"/>
      <c r="B7" s="99"/>
      <c r="C7" s="99"/>
      <c r="D7" s="100"/>
      <c r="E7" s="99"/>
      <c r="F7" s="99"/>
      <c r="G7" s="99"/>
      <c r="H7" s="99"/>
    </row>
    <row r="8" ht="88.5" customHeight="1" spans="1:8" x14ac:dyDescent="0.25">
      <c r="A8" s="99"/>
      <c r="B8" s="99"/>
      <c r="C8" s="99"/>
      <c r="D8" s="100"/>
      <c r="E8" s="99"/>
      <c r="F8" s="99"/>
      <c r="G8" s="99"/>
      <c r="H8" s="99"/>
    </row>
    <row r="9" ht="88.5" customHeight="1" spans="1:8" x14ac:dyDescent="0.25">
      <c r="A9" s="99"/>
      <c r="B9" s="99"/>
      <c r="C9" s="99"/>
      <c r="D9" s="100"/>
      <c r="E9" s="99"/>
      <c r="F9" s="99"/>
      <c r="G9" s="99"/>
      <c r="H9" s="99"/>
    </row>
    <row r="10" ht="88.5" customHeight="1" spans="1:8" x14ac:dyDescent="0.25">
      <c r="A10" s="99"/>
      <c r="B10" s="99"/>
      <c r="C10" s="99"/>
      <c r="D10" s="100"/>
      <c r="E10" s="99"/>
      <c r="F10" s="99"/>
      <c r="G10" s="99"/>
      <c r="H10" s="99"/>
    </row>
    <row r="11" ht="88.5" customHeight="1" spans="1:8" x14ac:dyDescent="0.25">
      <c r="A11" s="99"/>
      <c r="B11" s="99"/>
      <c r="C11" s="99"/>
      <c r="D11" s="100"/>
      <c r="E11" s="99"/>
      <c r="F11" s="99"/>
      <c r="G11" s="99"/>
      <c r="H11" s="99"/>
    </row>
    <row r="12" ht="88.5" customHeight="1" spans="1:8" x14ac:dyDescent="0.25">
      <c r="A12" s="99"/>
      <c r="B12" s="99"/>
      <c r="C12" s="99"/>
      <c r="D12" s="100"/>
      <c r="E12" s="99"/>
      <c r="F12" s="99"/>
      <c r="G12" s="99"/>
      <c r="H12" s="99"/>
    </row>
    <row r="13" ht="88.5" customHeight="1" spans="1:8" x14ac:dyDescent="0.25">
      <c r="A13" s="99"/>
      <c r="B13" s="99"/>
      <c r="C13" s="99"/>
      <c r="D13" s="100"/>
      <c r="E13" s="99"/>
      <c r="F13" s="99"/>
      <c r="G13" s="99"/>
      <c r="H13" s="99"/>
    </row>
    <row r="14" ht="88.5" customHeight="1" spans="1:8" x14ac:dyDescent="0.25">
      <c r="A14" s="99"/>
      <c r="B14" s="99"/>
      <c r="C14" s="99"/>
      <c r="D14" s="100"/>
      <c r="E14" s="99"/>
      <c r="F14" s="99"/>
      <c r="G14" s="99"/>
      <c r="H14" s="99"/>
    </row>
    <row r="15" ht="88.5" customHeight="1" spans="1:8" x14ac:dyDescent="0.25">
      <c r="A15" s="99"/>
      <c r="B15" s="99"/>
      <c r="C15" s="99"/>
      <c r="D15" s="100"/>
      <c r="E15" s="99"/>
      <c r="F15" s="99"/>
      <c r="G15" s="99"/>
      <c r="H15" s="99"/>
    </row>
    <row r="16" ht="88.5" customHeight="1" spans="1:8" x14ac:dyDescent="0.25">
      <c r="A16" s="99"/>
      <c r="B16" s="99"/>
      <c r="C16" s="99"/>
      <c r="D16" s="100"/>
      <c r="E16" s="99"/>
      <c r="F16" s="99"/>
      <c r="G16" s="99"/>
      <c r="H16" s="99"/>
    </row>
    <row r="17" ht="88.5" customHeight="1" spans="1:8" x14ac:dyDescent="0.25">
      <c r="A17" s="99"/>
      <c r="B17" s="99"/>
      <c r="C17" s="99"/>
      <c r="D17" s="100"/>
      <c r="E17" s="99"/>
      <c r="F17" s="99"/>
      <c r="G17" s="99"/>
      <c r="H17" s="99"/>
    </row>
    <row r="18" ht="88.5" customHeight="1" spans="1:8" x14ac:dyDescent="0.25">
      <c r="A18" s="99"/>
      <c r="B18" s="99"/>
      <c r="C18" s="99"/>
      <c r="D18" s="100"/>
      <c r="E18" s="99"/>
      <c r="F18" s="99"/>
      <c r="G18" s="99"/>
      <c r="H18" s="99"/>
    </row>
    <row r="19" ht="88.5" customHeight="1" spans="1:8" x14ac:dyDescent="0.25">
      <c r="A19" s="99"/>
      <c r="B19" s="99"/>
      <c r="C19" s="99"/>
      <c r="D19" s="100"/>
      <c r="E19" s="99"/>
      <c r="F19" s="99"/>
      <c r="G19" s="99"/>
      <c r="H19" s="99"/>
    </row>
    <row r="20" ht="88.5" customHeight="1" spans="1:8" x14ac:dyDescent="0.25">
      <c r="A20" s="99"/>
      <c r="B20" s="99"/>
      <c r="C20" s="99"/>
      <c r="D20" s="100"/>
      <c r="E20" s="99"/>
      <c r="F20" s="99"/>
      <c r="G20" s="99"/>
      <c r="H20" s="99"/>
    </row>
    <row r="21" ht="88.5" customHeight="1" spans="1:8" x14ac:dyDescent="0.25">
      <c r="A21" s="99"/>
      <c r="B21" s="99"/>
      <c r="C21" s="99"/>
      <c r="D21" s="100"/>
      <c r="E21" s="99"/>
      <c r="F21" s="99"/>
      <c r="G21" s="99"/>
      <c r="H21" s="99"/>
    </row>
    <row r="22" ht="88.5" customHeight="1" spans="1:8" x14ac:dyDescent="0.25">
      <c r="A22" s="99"/>
      <c r="B22" s="99"/>
      <c r="C22" s="99"/>
      <c r="D22" s="100"/>
      <c r="E22" s="99"/>
      <c r="F22" s="99"/>
      <c r="G22" s="99"/>
      <c r="H22" s="99"/>
    </row>
    <row r="23" ht="88.5" customHeight="1" spans="1:8" x14ac:dyDescent="0.25">
      <c r="A23" s="99"/>
      <c r="B23" s="99"/>
      <c r="C23" s="99"/>
      <c r="D23" s="100"/>
      <c r="E23" s="99"/>
      <c r="F23" s="99"/>
      <c r="G23" s="99"/>
      <c r="H23" s="99"/>
    </row>
    <row r="24" ht="88.5" customHeight="1" spans="1:8" x14ac:dyDescent="0.25">
      <c r="A24" s="99"/>
      <c r="B24" s="99"/>
      <c r="C24" s="99"/>
      <c r="D24" s="100"/>
      <c r="E24" s="99"/>
      <c r="F24" s="99"/>
      <c r="G24" s="99"/>
      <c r="H24" s="99"/>
    </row>
    <row r="25" ht="88.5" customHeight="1" spans="1:8" x14ac:dyDescent="0.25">
      <c r="A25" s="99"/>
      <c r="B25" s="99"/>
      <c r="C25" s="99"/>
      <c r="D25" s="100"/>
      <c r="E25" s="99"/>
      <c r="F25" s="99"/>
      <c r="G25" s="99"/>
      <c r="H25" s="99"/>
    </row>
    <row r="26" ht="88.5" customHeight="1" spans="1:8" x14ac:dyDescent="0.25">
      <c r="A26" s="99"/>
      <c r="B26" s="99"/>
      <c r="C26" s="99"/>
      <c r="D26" s="100"/>
      <c r="E26" s="99"/>
      <c r="F26" s="99"/>
      <c r="G26" s="99"/>
      <c r="H26" s="99"/>
    </row>
    <row r="27" ht="88.5" customHeight="1" spans="1:8" x14ac:dyDescent="0.25">
      <c r="A27" s="99"/>
      <c r="B27" s="99"/>
      <c r="C27" s="99"/>
      <c r="D27" s="100"/>
      <c r="E27" s="99"/>
      <c r="F27" s="99"/>
      <c r="G27" s="99"/>
      <c r="H27" s="99"/>
    </row>
    <row r="28" ht="88.5" customHeight="1" spans="1:8" x14ac:dyDescent="0.25">
      <c r="A28" s="99"/>
      <c r="B28" s="99"/>
      <c r="C28" s="99"/>
      <c r="D28" s="100"/>
      <c r="E28" s="99"/>
      <c r="F28" s="99"/>
      <c r="G28" s="99"/>
      <c r="H28" s="99"/>
    </row>
    <row r="29" ht="88.5" customHeight="1" spans="1:8" x14ac:dyDescent="0.25">
      <c r="A29" s="99"/>
      <c r="B29" s="99"/>
      <c r="C29" s="99"/>
      <c r="D29" s="100"/>
      <c r="E29" s="99"/>
      <c r="F29" s="99"/>
      <c r="G29" s="99"/>
      <c r="H29" s="99"/>
    </row>
    <row r="30" ht="88.5" customHeight="1" spans="1:8" x14ac:dyDescent="0.25">
      <c r="A30" s="99"/>
      <c r="B30" s="99"/>
      <c r="C30" s="99"/>
      <c r="D30" s="100"/>
      <c r="E30" s="99"/>
      <c r="F30" s="99"/>
      <c r="G30" s="99"/>
      <c r="H30" s="99"/>
    </row>
    <row r="31" ht="88.5" customHeight="1" spans="1:8" x14ac:dyDescent="0.25">
      <c r="A31" s="99"/>
      <c r="B31" s="99"/>
      <c r="C31" s="99"/>
      <c r="D31" s="100"/>
      <c r="E31" s="99"/>
      <c r="F31" s="99"/>
      <c r="G31" s="99"/>
      <c r="H31" s="99"/>
    </row>
    <row r="32" ht="88.5" customHeight="1" spans="1:8" x14ac:dyDescent="0.25">
      <c r="A32" s="99"/>
      <c r="B32" s="99"/>
      <c r="C32" s="99"/>
      <c r="D32" s="100"/>
      <c r="E32" s="99"/>
      <c r="F32" s="99"/>
      <c r="G32" s="99"/>
      <c r="H32" s="99"/>
    </row>
    <row r="33" ht="88.5" customHeight="1" spans="1:8" x14ac:dyDescent="0.25">
      <c r="A33" s="99"/>
      <c r="B33" s="99"/>
      <c r="C33" s="99"/>
      <c r="D33" s="100"/>
      <c r="E33" s="99"/>
      <c r="F33" s="99"/>
      <c r="G33" s="99"/>
      <c r="H33" s="99"/>
    </row>
    <row r="34" ht="88.5" customHeight="1" spans="1:8" x14ac:dyDescent="0.25">
      <c r="A34" s="99"/>
      <c r="B34" s="99"/>
      <c r="C34" s="99"/>
      <c r="D34" s="100"/>
      <c r="E34" s="99"/>
      <c r="F34" s="99"/>
      <c r="G34" s="99"/>
      <c r="H34" s="99"/>
    </row>
    <row r="35" ht="88.5" customHeight="1" spans="1:8" x14ac:dyDescent="0.25">
      <c r="A35" s="99"/>
      <c r="B35" s="99"/>
      <c r="C35" s="99"/>
      <c r="D35" s="100"/>
      <c r="E35" s="99"/>
      <c r="F35" s="99"/>
      <c r="G35" s="99"/>
      <c r="H35" s="99"/>
    </row>
    <row r="36" ht="88.5" customHeight="1" spans="1:8" x14ac:dyDescent="0.25">
      <c r="A36" s="99"/>
      <c r="B36" s="99"/>
      <c r="C36" s="99"/>
      <c r="D36" s="100"/>
      <c r="E36" s="99"/>
      <c r="F36" s="99"/>
      <c r="G36" s="99"/>
      <c r="H36" s="99"/>
    </row>
    <row r="37" ht="88.5" customHeight="1" spans="1:8" x14ac:dyDescent="0.25">
      <c r="A37" s="99"/>
      <c r="B37" s="99"/>
      <c r="C37" s="99"/>
      <c r="D37" s="100"/>
      <c r="E37" s="99"/>
      <c r="F37" s="99"/>
      <c r="G37" s="99"/>
      <c r="H37" s="99"/>
    </row>
    <row r="38" ht="88.5" customHeight="1" spans="1:8" x14ac:dyDescent="0.25">
      <c r="A38" s="99"/>
      <c r="B38" s="99"/>
      <c r="C38" s="99"/>
      <c r="D38" s="100"/>
      <c r="E38" s="99"/>
      <c r="F38" s="99"/>
      <c r="G38" s="99"/>
      <c r="H38" s="99"/>
    </row>
    <row r="39" ht="88.5" customHeight="1" spans="1:8" x14ac:dyDescent="0.25">
      <c r="A39" s="99"/>
      <c r="B39" s="99"/>
      <c r="C39" s="99"/>
      <c r="D39" s="100"/>
      <c r="E39" s="99"/>
      <c r="F39" s="99"/>
      <c r="G39" s="99"/>
      <c r="H39" s="99"/>
    </row>
    <row r="40" ht="88.5" customHeight="1" spans="1:8" x14ac:dyDescent="0.25">
      <c r="A40" s="99"/>
      <c r="B40" s="99"/>
      <c r="C40" s="99"/>
      <c r="D40" s="100"/>
      <c r="E40" s="99"/>
      <c r="F40" s="99"/>
      <c r="G40" s="99"/>
      <c r="H40" s="99"/>
    </row>
    <row r="41" ht="88.5" customHeight="1" spans="1:8" x14ac:dyDescent="0.25">
      <c r="A41" s="99"/>
      <c r="B41" s="99"/>
      <c r="C41" s="99"/>
      <c r="D41" s="100"/>
      <c r="E41" s="99"/>
      <c r="F41" s="99"/>
      <c r="G41" s="99"/>
      <c r="H41" s="99"/>
    </row>
    <row r="42" ht="88.5" customHeight="1" spans="1:8" x14ac:dyDescent="0.25">
      <c r="A42" s="99"/>
      <c r="B42" s="99"/>
      <c r="C42" s="99"/>
      <c r="D42" s="100"/>
      <c r="E42" s="99"/>
      <c r="F42" s="99"/>
      <c r="G42" s="99"/>
      <c r="H42" s="99"/>
    </row>
    <row r="43" ht="88.5" customHeight="1" spans="1:8" x14ac:dyDescent="0.25">
      <c r="A43" s="99"/>
      <c r="B43" s="99"/>
      <c r="C43" s="99"/>
      <c r="D43" s="100"/>
      <c r="E43" s="99"/>
      <c r="F43" s="99"/>
      <c r="G43" s="99"/>
      <c r="H43" s="99"/>
    </row>
    <row r="44" ht="88.5" customHeight="1" spans="1:8" x14ac:dyDescent="0.25">
      <c r="A44" s="99"/>
      <c r="B44" s="99"/>
      <c r="C44" s="99"/>
      <c r="D44" s="100"/>
      <c r="E44" s="99"/>
      <c r="F44" s="99"/>
      <c r="G44" s="99"/>
      <c r="H44" s="99"/>
    </row>
    <row r="45" ht="88.5" customHeight="1" spans="1:8" x14ac:dyDescent="0.25">
      <c r="A45" s="99"/>
      <c r="B45" s="99"/>
      <c r="C45" s="99"/>
      <c r="D45" s="100"/>
      <c r="E45" s="99"/>
      <c r="F45" s="99"/>
      <c r="G45" s="99"/>
      <c r="H45" s="99"/>
    </row>
    <row r="46" ht="88.5" customHeight="1" spans="1:8" x14ac:dyDescent="0.25">
      <c r="A46" s="99"/>
      <c r="B46" s="99"/>
      <c r="C46" s="99"/>
      <c r="D46" s="100"/>
      <c r="E46" s="99"/>
      <c r="F46" s="99"/>
      <c r="G46" s="99"/>
      <c r="H46" s="99"/>
    </row>
    <row r="47" ht="88.5" customHeight="1" spans="1:8" x14ac:dyDescent="0.25">
      <c r="A47" s="99"/>
      <c r="B47" s="99"/>
      <c r="C47" s="99"/>
      <c r="D47" s="100"/>
      <c r="E47" s="99"/>
      <c r="F47" s="99"/>
      <c r="G47" s="99"/>
      <c r="H47" s="99"/>
    </row>
    <row r="48" ht="88.5" customHeight="1" spans="1:8" x14ac:dyDescent="0.25">
      <c r="A48" s="99"/>
      <c r="B48" s="99"/>
      <c r="C48" s="99"/>
      <c r="D48" s="100"/>
      <c r="E48" s="99"/>
      <c r="F48" s="99"/>
      <c r="G48" s="99"/>
      <c r="H48" s="99"/>
    </row>
    <row r="49" ht="88.5" customHeight="1" spans="1:8" x14ac:dyDescent="0.25">
      <c r="A49" s="99"/>
      <c r="B49" s="99"/>
      <c r="C49" s="99"/>
      <c r="D49" s="100"/>
      <c r="E49" s="99"/>
      <c r="F49" s="99"/>
      <c r="G49" s="99"/>
      <c r="H49" s="99"/>
    </row>
    <row r="50" ht="88.5" customHeight="1" spans="1:8" x14ac:dyDescent="0.25">
      <c r="A50" s="99"/>
      <c r="B50" s="99"/>
      <c r="C50" s="99"/>
      <c r="D50" s="100"/>
      <c r="E50" s="99"/>
      <c r="F50" s="99"/>
      <c r="G50" s="99"/>
      <c r="H50" s="99"/>
    </row>
    <row r="51" ht="88.5" customHeight="1" spans="1:8" x14ac:dyDescent="0.25">
      <c r="A51" s="99"/>
      <c r="B51" s="99"/>
      <c r="C51" s="99"/>
      <c r="D51" s="100"/>
      <c r="E51" s="99"/>
      <c r="F51" s="99"/>
      <c r="G51" s="99"/>
      <c r="H51" s="99"/>
    </row>
    <row r="52" ht="88.5" customHeight="1" spans="1:8" x14ac:dyDescent="0.25">
      <c r="A52" s="99"/>
      <c r="B52" s="99"/>
      <c r="C52" s="99"/>
      <c r="D52" s="100"/>
      <c r="E52" s="99"/>
      <c r="F52" s="99"/>
      <c r="G52" s="99"/>
      <c r="H52" s="99"/>
    </row>
    <row r="53" ht="88.5" customHeight="1" spans="1:8" x14ac:dyDescent="0.25">
      <c r="A53" s="99"/>
      <c r="B53" s="99"/>
      <c r="C53" s="99"/>
      <c r="D53" s="100"/>
      <c r="E53" s="99"/>
      <c r="F53" s="99"/>
      <c r="G53" s="99"/>
      <c r="H53" s="99"/>
    </row>
    <row r="54" ht="88.5" customHeight="1" spans="1:8" x14ac:dyDescent="0.25">
      <c r="A54" s="99"/>
      <c r="B54" s="99"/>
      <c r="C54" s="99"/>
      <c r="D54" s="100"/>
      <c r="E54" s="99"/>
      <c r="F54" s="99"/>
      <c r="G54" s="99"/>
      <c r="H54" s="99"/>
    </row>
    <row r="55" ht="88.5" customHeight="1" spans="1:8" x14ac:dyDescent="0.25">
      <c r="A55" s="99"/>
      <c r="B55" s="99"/>
      <c r="C55" s="99"/>
      <c r="D55" s="100"/>
      <c r="E55" s="99"/>
      <c r="F55" s="99"/>
      <c r="G55" s="99"/>
      <c r="H55" s="99"/>
    </row>
    <row r="56" ht="88.5" customHeight="1" spans="1:8" x14ac:dyDescent="0.25">
      <c r="A56" s="99"/>
      <c r="B56" s="99"/>
      <c r="C56" s="99"/>
      <c r="D56" s="100"/>
      <c r="E56" s="99"/>
      <c r="F56" s="99"/>
      <c r="G56" s="99"/>
      <c r="H56" s="99"/>
    </row>
    <row r="57" ht="88.5" customHeight="1" spans="1:8" x14ac:dyDescent="0.25">
      <c r="A57" s="99"/>
      <c r="B57" s="99"/>
      <c r="C57" s="99"/>
      <c r="D57" s="100"/>
      <c r="E57" s="99"/>
      <c r="F57" s="99"/>
      <c r="G57" s="99"/>
      <c r="H57" s="99"/>
    </row>
    <row r="58" ht="88.5" customHeight="1" spans="1:8" x14ac:dyDescent="0.25">
      <c r="A58" s="99"/>
      <c r="B58" s="99"/>
      <c r="C58" s="99"/>
      <c r="D58" s="100"/>
      <c r="E58" s="99"/>
      <c r="F58" s="99"/>
      <c r="G58" s="99"/>
      <c r="H58" s="99"/>
    </row>
    <row r="59" ht="88.5" customHeight="1" spans="1:8" x14ac:dyDescent="0.25">
      <c r="A59" s="99"/>
      <c r="B59" s="99"/>
      <c r="C59" s="99"/>
      <c r="D59" s="100"/>
      <c r="E59" s="99"/>
      <c r="F59" s="99"/>
      <c r="G59" s="99"/>
      <c r="H59" s="99"/>
    </row>
    <row r="60" ht="88.5" customHeight="1" spans="1:8" x14ac:dyDescent="0.25">
      <c r="A60" s="99"/>
      <c r="B60" s="99"/>
      <c r="C60" s="99"/>
      <c r="D60" s="100"/>
      <c r="E60" s="99"/>
      <c r="F60" s="99"/>
      <c r="G60" s="99"/>
      <c r="H60" s="99"/>
    </row>
    <row r="61" ht="88.5" customHeight="1" spans="1:8" x14ac:dyDescent="0.25">
      <c r="A61" s="99"/>
      <c r="B61" s="99"/>
      <c r="C61" s="99"/>
      <c r="D61" s="100"/>
      <c r="E61" s="99"/>
      <c r="F61" s="99"/>
      <c r="G61" s="99"/>
      <c r="H61" s="99"/>
    </row>
    <row r="62" ht="88.5" customHeight="1" spans="1:8" x14ac:dyDescent="0.25">
      <c r="A62" s="99"/>
      <c r="B62" s="99"/>
      <c r="C62" s="99"/>
      <c r="D62" s="100"/>
      <c r="E62" s="99"/>
      <c r="F62" s="99"/>
      <c r="G62" s="99"/>
      <c r="H62" s="99"/>
    </row>
    <row r="63" ht="88.5" customHeight="1" spans="1:8" x14ac:dyDescent="0.25">
      <c r="A63" s="99"/>
      <c r="B63" s="99"/>
      <c r="C63" s="99"/>
      <c r="D63" s="100"/>
      <c r="E63" s="99"/>
      <c r="F63" s="99"/>
      <c r="G63" s="99"/>
      <c r="H63" s="99"/>
    </row>
    <row r="64" ht="88.5" customHeight="1" spans="1:8" x14ac:dyDescent="0.25">
      <c r="A64" s="99"/>
      <c r="B64" s="99"/>
      <c r="C64" s="99"/>
      <c r="D64" s="100"/>
      <c r="E64" s="99"/>
      <c r="F64" s="99"/>
      <c r="G64" s="99"/>
      <c r="H64" s="99"/>
    </row>
    <row r="65" ht="88.5" customHeight="1" spans="1:8" x14ac:dyDescent="0.25">
      <c r="A65" s="99"/>
      <c r="B65" s="99"/>
      <c r="C65" s="99"/>
      <c r="D65" s="100"/>
      <c r="E65" s="99"/>
      <c r="F65" s="99"/>
      <c r="G65" s="99"/>
      <c r="H65" s="99"/>
    </row>
    <row r="66" ht="88.5" customHeight="1" spans="1:8" x14ac:dyDescent="0.25">
      <c r="A66" s="99"/>
      <c r="B66" s="99"/>
      <c r="C66" s="99"/>
      <c r="D66" s="100"/>
      <c r="E66" s="99"/>
      <c r="F66" s="99"/>
      <c r="G66" s="99"/>
      <c r="H66" s="99"/>
    </row>
    <row r="67" ht="88.5" customHeight="1" spans="1:8" x14ac:dyDescent="0.25">
      <c r="A67" s="99"/>
      <c r="B67" s="99"/>
      <c r="C67" s="99"/>
      <c r="D67" s="100"/>
      <c r="E67" s="99"/>
      <c r="F67" s="99"/>
      <c r="G67" s="99"/>
      <c r="H67" s="99"/>
    </row>
    <row r="68" ht="88.5" customHeight="1" spans="1:8" x14ac:dyDescent="0.25">
      <c r="A68" s="99"/>
      <c r="B68" s="99"/>
      <c r="C68" s="99"/>
      <c r="D68" s="100"/>
      <c r="E68" s="99"/>
      <c r="F68" s="99"/>
      <c r="G68" s="99"/>
      <c r="H68" s="99"/>
    </row>
    <row r="69" ht="88.5" customHeight="1" spans="1:8" x14ac:dyDescent="0.25">
      <c r="A69" s="99"/>
      <c r="B69" s="99"/>
      <c r="C69" s="99"/>
      <c r="D69" s="100"/>
      <c r="E69" s="99"/>
      <c r="F69" s="99"/>
      <c r="G69" s="99"/>
      <c r="H69" s="99"/>
    </row>
    <row r="70" ht="88.5" customHeight="1" spans="1:8" x14ac:dyDescent="0.25">
      <c r="A70" s="99"/>
      <c r="B70" s="99"/>
      <c r="C70" s="99"/>
      <c r="D70" s="100"/>
      <c r="E70" s="99"/>
      <c r="F70" s="99"/>
      <c r="G70" s="99"/>
      <c r="H70" s="99"/>
    </row>
    <row r="71" ht="88.5" customHeight="1" spans="1:8" x14ac:dyDescent="0.25">
      <c r="A71" s="99"/>
      <c r="B71" s="99"/>
      <c r="C71" s="99"/>
      <c r="D71" s="100"/>
      <c r="E71" s="99"/>
      <c r="F71" s="99"/>
      <c r="G71" s="99"/>
      <c r="H71" s="99"/>
    </row>
    <row r="72" ht="88.5" customHeight="1" spans="1:8" x14ac:dyDescent="0.25">
      <c r="A72" s="99"/>
      <c r="B72" s="99"/>
      <c r="C72" s="99"/>
      <c r="D72" s="100"/>
      <c r="E72" s="99"/>
      <c r="F72" s="99"/>
      <c r="G72" s="99"/>
      <c r="H72" s="99"/>
    </row>
    <row r="73" ht="88.5" customHeight="1" spans="1:8" x14ac:dyDescent="0.25">
      <c r="A73" s="99"/>
      <c r="B73" s="99"/>
      <c r="C73" s="99"/>
      <c r="D73" s="100"/>
      <c r="E73" s="99"/>
      <c r="F73" s="99"/>
      <c r="G73" s="99"/>
      <c r="H73" s="99"/>
    </row>
    <row r="74" ht="88.5" customHeight="1" spans="1:8" x14ac:dyDescent="0.25">
      <c r="A74" s="99"/>
      <c r="B74" s="99"/>
      <c r="C74" s="99"/>
      <c r="D74" s="100"/>
      <c r="E74" s="99"/>
      <c r="F74" s="99"/>
      <c r="G74" s="99"/>
      <c r="H74" s="99"/>
    </row>
    <row r="75" ht="88.5" customHeight="1" spans="1:8" x14ac:dyDescent="0.25">
      <c r="A75" s="99"/>
      <c r="B75" s="99"/>
      <c r="C75" s="99"/>
      <c r="D75" s="100"/>
      <c r="E75" s="99"/>
      <c r="F75" s="99"/>
      <c r="G75" s="99"/>
      <c r="H75" s="99"/>
    </row>
    <row r="76" ht="88.5" customHeight="1" spans="1:8" x14ac:dyDescent="0.25">
      <c r="A76" s="99"/>
      <c r="B76" s="99"/>
      <c r="C76" s="99"/>
      <c r="D76" s="100"/>
      <c r="E76" s="99"/>
      <c r="F76" s="99"/>
      <c r="G76" s="99"/>
      <c r="H76" s="99"/>
    </row>
    <row r="77" ht="88.5" customHeight="1" spans="1:8" x14ac:dyDescent="0.25">
      <c r="A77" s="99"/>
      <c r="B77" s="99"/>
      <c r="C77" s="99"/>
      <c r="D77" s="100"/>
      <c r="E77" s="99"/>
      <c r="F77" s="99"/>
      <c r="G77" s="99"/>
      <c r="H77" s="99"/>
    </row>
    <row r="78" ht="88.5" customHeight="1" spans="1:8" x14ac:dyDescent="0.25">
      <c r="A78" s="99"/>
      <c r="B78" s="99"/>
      <c r="C78" s="99"/>
      <c r="D78" s="100"/>
      <c r="E78" s="99"/>
      <c r="F78" s="99"/>
      <c r="G78" s="99"/>
      <c r="H78" s="99"/>
    </row>
    <row r="79" ht="88.5" customHeight="1" spans="1:8" x14ac:dyDescent="0.25">
      <c r="A79" s="99"/>
      <c r="B79" s="99"/>
      <c r="C79" s="99"/>
      <c r="D79" s="100"/>
      <c r="E79" s="99"/>
      <c r="F79" s="99"/>
      <c r="G79" s="99"/>
      <c r="H79" s="99"/>
    </row>
    <row r="80" ht="88.5" customHeight="1" spans="1:8" x14ac:dyDescent="0.25">
      <c r="A80" s="99"/>
      <c r="B80" s="99"/>
      <c r="C80" s="99"/>
      <c r="D80" s="100"/>
      <c r="E80" s="99"/>
      <c r="F80" s="99"/>
      <c r="G80" s="99"/>
      <c r="H80" s="99"/>
    </row>
    <row r="81" ht="88.5" customHeight="1" spans="1:8" x14ac:dyDescent="0.25">
      <c r="A81" s="99"/>
      <c r="B81" s="99"/>
      <c r="C81" s="99"/>
      <c r="D81" s="100"/>
      <c r="E81" s="99"/>
      <c r="F81" s="99"/>
      <c r="G81" s="99"/>
      <c r="H81" s="99"/>
    </row>
    <row r="82" ht="88.5" customHeight="1" spans="1:8" x14ac:dyDescent="0.25">
      <c r="A82" s="99"/>
      <c r="B82" s="99"/>
      <c r="C82" s="99"/>
      <c r="D82" s="100"/>
      <c r="E82" s="99"/>
      <c r="F82" s="99"/>
      <c r="G82" s="99"/>
      <c r="H82" s="99"/>
    </row>
    <row r="83" ht="88.5" customHeight="1" spans="1:8" x14ac:dyDescent="0.25">
      <c r="A83" s="99"/>
      <c r="B83" s="99"/>
      <c r="C83" s="99"/>
      <c r="D83" s="100"/>
      <c r="E83" s="99"/>
      <c r="F83" s="99"/>
      <c r="G83" s="99"/>
      <c r="H83" s="99"/>
    </row>
    <row r="84" ht="88.5" customHeight="1" spans="1:8" x14ac:dyDescent="0.25">
      <c r="A84" s="99"/>
      <c r="B84" s="99"/>
      <c r="C84" s="99"/>
      <c r="D84" s="100"/>
      <c r="E84" s="99"/>
      <c r="F84" s="99"/>
      <c r="G84" s="99"/>
      <c r="H84" s="99"/>
    </row>
    <row r="85" ht="88.5" customHeight="1" spans="1:8" x14ac:dyDescent="0.25">
      <c r="A85" s="99"/>
      <c r="B85" s="99"/>
      <c r="C85" s="99"/>
      <c r="D85" s="100"/>
      <c r="E85" s="99"/>
      <c r="F85" s="99"/>
      <c r="G85" s="99"/>
      <c r="H85" s="99"/>
    </row>
    <row r="86" ht="88.5" customHeight="1" spans="1:8" x14ac:dyDescent="0.25">
      <c r="A86" s="99"/>
      <c r="B86" s="99"/>
      <c r="C86" s="99"/>
      <c r="D86" s="100"/>
      <c r="E86" s="99"/>
      <c r="F86" s="99"/>
      <c r="G86" s="99"/>
      <c r="H86" s="99"/>
    </row>
    <row r="87" ht="88.5" customHeight="1" spans="1:8" x14ac:dyDescent="0.25">
      <c r="A87" s="99"/>
      <c r="B87" s="99"/>
      <c r="C87" s="99"/>
      <c r="D87" s="100"/>
      <c r="E87" s="99"/>
      <c r="F87" s="99"/>
      <c r="G87" s="99"/>
      <c r="H87" s="99"/>
    </row>
    <row r="88" ht="88.5" customHeight="1" spans="1:8" x14ac:dyDescent="0.25">
      <c r="A88" s="99"/>
      <c r="B88" s="99"/>
      <c r="C88" s="99"/>
      <c r="D88" s="100"/>
      <c r="E88" s="99"/>
      <c r="F88" s="99"/>
      <c r="G88" s="99"/>
      <c r="H88" s="99"/>
    </row>
    <row r="89" ht="88.5" customHeight="1" spans="1:8" x14ac:dyDescent="0.25">
      <c r="A89" s="99"/>
      <c r="B89" s="99"/>
      <c r="C89" s="99"/>
      <c r="D89" s="100"/>
      <c r="E89" s="99"/>
      <c r="F89" s="99"/>
      <c r="G89" s="99"/>
      <c r="H89" s="99"/>
    </row>
    <row r="90" ht="88.5" customHeight="1" spans="1:8" x14ac:dyDescent="0.25">
      <c r="A90" s="99"/>
      <c r="B90" s="99"/>
      <c r="C90" s="99"/>
      <c r="D90" s="100"/>
      <c r="E90" s="99"/>
      <c r="F90" s="99"/>
      <c r="G90" s="99"/>
      <c r="H90" s="99"/>
    </row>
    <row r="91" ht="88.5" customHeight="1" spans="1:8" x14ac:dyDescent="0.25">
      <c r="A91" s="99"/>
      <c r="B91" s="99"/>
      <c r="C91" s="99"/>
      <c r="D91" s="100"/>
      <c r="E91" s="99"/>
      <c r="F91" s="99"/>
      <c r="G91" s="99"/>
      <c r="H91" s="99"/>
    </row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pageMargins left="0.7" right="0.7" top="0.75" bottom="0.75" header="0.511805555555555" footer="0.511805555555555"/>
  <pageSetup paperSize="1" orientation="portrait" horizontalDpi="300" verticalDpi="300" scale="100" fitToWidth="1" fitToHeight="1" firstPageNumber="0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 zoomScale="80" zoomScaleNormal="80" view="normal">
      <selection activeCell="B2" sqref="B2"/>
    </sheetView>
  </sheetViews>
  <sheetFormatPr defaultRowHeight="15" outlineLevelRow="0" outlineLevelCol="0" x14ac:dyDescent="0"/>
  <cols>
    <col min="1" max="1" width="9.44" customWidth="1"/>
    <col min="2" max="2" width="14.89" customWidth="1"/>
    <col min="3" max="1025" width="11.2" customWidth="1"/>
  </cols>
  <sheetData>
    <row r="1" ht="15" customHeight="1" spans="1:27" x14ac:dyDescent="0.25">
      <c r="A1" s="101"/>
      <c r="B1" s="101" t="s">
        <v>500</v>
      </c>
      <c r="C1" s="101" t="s">
        <v>501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ht="15" customHeight="1" spans="1:27" x14ac:dyDescent="0.25">
      <c r="A2" s="15">
        <v>1</v>
      </c>
      <c r="B2" s="15" t="s">
        <v>268</v>
      </c>
      <c r="C2" s="15" t="s">
        <v>502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 ht="15" customHeight="1" spans="1:27" x14ac:dyDescent="0.25">
      <c r="A3" s="15">
        <v>2</v>
      </c>
      <c r="B3" s="15" t="s">
        <v>269</v>
      </c>
      <c r="C3" s="15" t="s">
        <v>503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</row>
    <row r="4" ht="15" customHeight="1" spans="1:27" x14ac:dyDescent="0.25">
      <c r="A4" s="15">
        <v>3</v>
      </c>
      <c r="B4" s="15" t="s">
        <v>270</v>
      </c>
      <c r="C4" s="15" t="s">
        <v>504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 ht="15" customHeight="1" spans="1:27" x14ac:dyDescent="0.25">
      <c r="A5" s="15">
        <v>4</v>
      </c>
      <c r="B5" s="15" t="s">
        <v>271</v>
      </c>
      <c r="C5" s="15" t="s">
        <v>505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</row>
    <row r="6" ht="15" customHeight="1" spans="1:27" x14ac:dyDescent="0.25">
      <c r="A6" s="15">
        <v>5</v>
      </c>
      <c r="B6" s="15" t="s">
        <v>272</v>
      </c>
      <c r="C6" s="15" t="s">
        <v>506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ht="15" customHeight="1" spans="1:27" x14ac:dyDescent="0.25">
      <c r="A7" s="15">
        <v>6</v>
      </c>
      <c r="B7" s="15" t="s">
        <v>273</v>
      </c>
      <c r="C7" s="15" t="s">
        <v>507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</row>
    <row r="8" ht="15" customHeight="1" spans="1:27" x14ac:dyDescent="0.25">
      <c r="A8" s="15">
        <v>7</v>
      </c>
      <c r="B8" s="15" t="s">
        <v>274</v>
      </c>
      <c r="C8" s="15" t="s">
        <v>508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</row>
    <row r="9" ht="15" customHeight="1" spans="1:27" x14ac:dyDescent="0.25">
      <c r="A9" s="15">
        <v>8</v>
      </c>
      <c r="B9" s="15" t="s">
        <v>275</v>
      </c>
      <c r="C9" s="15" t="s">
        <v>509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</row>
    <row r="10" ht="15" customHeight="1" spans="1:27" x14ac:dyDescent="0.25">
      <c r="A10" s="15">
        <v>9</v>
      </c>
      <c r="B10" s="15" t="s">
        <v>276</v>
      </c>
      <c r="C10" s="15" t="s">
        <v>510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</row>
    <row r="11" ht="15" customHeight="1" spans="1:27" x14ac:dyDescent="0.25">
      <c r="A11" s="15">
        <v>10</v>
      </c>
      <c r="B11" s="15" t="s">
        <v>277</v>
      </c>
      <c r="C11" s="15" t="s">
        <v>511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ht="15" customHeight="1" spans="1:27" x14ac:dyDescent="0.25">
      <c r="A12" s="15">
        <v>11</v>
      </c>
      <c r="B12" s="15" t="s">
        <v>278</v>
      </c>
      <c r="C12" s="15" t="s">
        <v>512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</row>
    <row r="13" ht="15" customHeight="1" spans="1:27" x14ac:dyDescent="0.25">
      <c r="A13" s="15">
        <v>12</v>
      </c>
      <c r="B13" s="15" t="s">
        <v>279</v>
      </c>
      <c r="C13" s="15" t="s">
        <v>513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</row>
    <row r="14" ht="15" customHeight="1" spans="1:27" x14ac:dyDescent="0.25">
      <c r="A14" s="15">
        <v>13</v>
      </c>
      <c r="B14" s="15" t="s">
        <v>280</v>
      </c>
      <c r="C14" s="15" t="s">
        <v>514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 ht="15" customHeight="1" spans="1:27" x14ac:dyDescent="0.25">
      <c r="A15" s="15">
        <v>14</v>
      </c>
      <c r="B15" s="15" t="s">
        <v>281</v>
      </c>
      <c r="C15" s="15" t="s">
        <v>515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 ht="15" customHeight="1" spans="1:27" x14ac:dyDescent="0.25">
      <c r="A16" s="15">
        <v>15</v>
      </c>
      <c r="B16" s="15" t="s">
        <v>282</v>
      </c>
      <c r="C16" s="15" t="s">
        <v>516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</row>
    <row r="17" ht="15" customHeight="1" spans="1:27" x14ac:dyDescent="0.25">
      <c r="A17" s="15">
        <v>16</v>
      </c>
      <c r="B17" s="15" t="s">
        <v>283</v>
      </c>
      <c r="C17" s="15" t="s">
        <v>517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 ht="15" customHeight="1" spans="1:27" x14ac:dyDescent="0.25">
      <c r="A18" s="15">
        <v>17</v>
      </c>
      <c r="B18" s="15" t="s">
        <v>284</v>
      </c>
      <c r="C18" s="15" t="s">
        <v>518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</row>
    <row r="19" ht="15" customHeight="1" spans="1:27" x14ac:dyDescent="0.25">
      <c r="A19" s="15">
        <v>18</v>
      </c>
      <c r="B19" s="15" t="s">
        <v>285</v>
      </c>
      <c r="C19" s="15" t="s">
        <v>519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</row>
    <row r="20" ht="15" customHeight="1" spans="1:27" x14ac:dyDescent="0.25">
      <c r="A20" s="15">
        <v>19</v>
      </c>
      <c r="B20" s="15" t="s">
        <v>286</v>
      </c>
      <c r="C20" s="15" t="s">
        <v>520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</row>
    <row r="21" ht="15" customHeight="1" spans="1:27" x14ac:dyDescent="0.25">
      <c r="A21" s="15">
        <v>20</v>
      </c>
      <c r="B21" s="15" t="s">
        <v>287</v>
      </c>
      <c r="C21" s="15" t="s">
        <v>521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</row>
    <row r="22" ht="15" customHeight="1" spans="1:27" x14ac:dyDescent="0.25">
      <c r="A22" s="15">
        <v>21</v>
      </c>
      <c r="B22" s="15" t="s">
        <v>288</v>
      </c>
      <c r="C22" s="15" t="s">
        <v>522</v>
      </c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5" customHeight="1" spans="1:27" x14ac:dyDescent="0.25">
      <c r="A23" s="15">
        <v>22</v>
      </c>
      <c r="B23" s="15" t="s">
        <v>289</v>
      </c>
      <c r="C23" s="15" t="s">
        <v>523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5" customHeight="1" spans="1:27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5" customHeight="1" spans="1:27" x14ac:dyDescent="0.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5" customHeight="1" spans="1:27" x14ac:dyDescent="0.25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5" customHeight="1" spans="1:27" x14ac:dyDescent="0.25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5" customHeight="1" spans="1:27" x14ac:dyDescent="0.25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5" customHeight="1" spans="1:27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5" customHeight="1" spans="1:27" x14ac:dyDescent="0.25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5" customHeight="1" spans="1:27" x14ac:dyDescent="0.25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5" customHeight="1" spans="1:27" x14ac:dyDescent="0.25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5" customHeight="1" spans="1:27" x14ac:dyDescent="0.25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5" customHeight="1" spans="1:27" x14ac:dyDescent="0.25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5" customHeight="1" spans="1:27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5" customHeight="1" spans="1:27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5" customHeight="1" spans="1:27" x14ac:dyDescent="0.25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5" customHeight="1" spans="1:27" x14ac:dyDescent="0.25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5" customHeight="1" spans="1:27" x14ac:dyDescent="0.25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5" customHeight="1" spans="1:27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5" customHeight="1" spans="1:27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5" customHeight="1" spans="1:27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5" customHeight="1" spans="1:27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5" customHeight="1" spans="1:27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5" customHeight="1" spans="1:27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15" customHeight="1" spans="1:27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5" customHeight="1" spans="1:27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5" customHeight="1" spans="1:27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5" customHeight="1" spans="1:27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5" customHeight="1" spans="1:27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5" customHeight="1" spans="1:27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5" customHeight="1" spans="1:27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5" customHeight="1" spans="1:27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5" customHeight="1" spans="1:27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5" customHeight="1" spans="1:27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5" customHeight="1" spans="1:27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5" customHeight="1" spans="1:27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5" customHeight="1" spans="1:27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5" customHeight="1" spans="1:27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5" customHeight="1" spans="1:27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5" customHeight="1" spans="1:27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5" customHeight="1" spans="1:27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5" customHeight="1" spans="1:27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5" customHeight="1" spans="1:27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5" customHeight="1" spans="1:27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5" customHeight="1" spans="1:27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15" customHeight="1" spans="1:27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15" customHeight="1" spans="1:27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5" customHeight="1" spans="1:27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5" customHeight="1" spans="1:27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5" customHeight="1" spans="1:27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5" customHeight="1" spans="1:27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5" customHeight="1" spans="1:27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5" customHeight="1" spans="1:27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5" customHeight="1" spans="1:27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5" customHeight="1" spans="1:27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5" customHeight="1" spans="1:27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5" customHeight="1" spans="1:27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5" customHeight="1" spans="1:27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5" customHeight="1" spans="1:27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5" customHeight="1" spans="1:27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5" customHeight="1" spans="1:27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5" customHeight="1" spans="1:27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5" customHeight="1" spans="1:27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5" customHeight="1" spans="1:27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5" customHeight="1" spans="1:27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5" customHeight="1" spans="1:27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5" customHeight="1" spans="1:27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5" customHeight="1" spans="1:27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5" customHeight="1" spans="1:27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5" customHeight="1" spans="1:27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5" customHeight="1" spans="1:27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5" customHeight="1" spans="1:27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5" customHeight="1" spans="1:27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5" customHeight="1" spans="1:27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5" customHeight="1" spans="1:27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5" customHeight="1" spans="1:27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5" customHeight="1" spans="1:27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5" customHeight="1" spans="1:27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5" customHeight="1" spans="1:27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5" customHeight="1" spans="1:27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5" customHeight="1" spans="1:27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5" customHeight="1" spans="1:27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5" customHeight="1" spans="1:27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5" customHeight="1" spans="1:27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5" customHeight="1" spans="1:27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5" customHeight="1" spans="1:27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5" customHeight="1" spans="1:27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5" customHeight="1" spans="1:27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5" customHeight="1" spans="1:27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5" customHeight="1" spans="1:27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5" customHeight="1" spans="1:27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5" customHeight="1" spans="1:27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5" customHeight="1" spans="1:27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5" customHeight="1" spans="1:27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5" customHeight="1" spans="1:27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5" customHeight="1" spans="1:27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5" customHeight="1" spans="1:27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5" customHeight="1" spans="1:27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5" customHeight="1" spans="1:27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5" customHeight="1" spans="1:27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5" customHeight="1" spans="1:27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5" customHeight="1" spans="1:27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5" customHeight="1" spans="1:27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5" customHeight="1" spans="1:27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5" customHeight="1" spans="1:27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5" customHeight="1" spans="1:27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5" customHeight="1" spans="1:27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5" customHeight="1" spans="1:27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5" customHeight="1" spans="1:27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5" customHeight="1" spans="1:27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5" customHeight="1" spans="1:27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5" customHeight="1" spans="1:27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5" customHeight="1" spans="1:27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5" customHeight="1" spans="1:27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5" customHeight="1" spans="1:27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5" customHeight="1" spans="1:27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5" customHeight="1" spans="1:27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5" customHeight="1" spans="1:27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5" customHeight="1" spans="1:27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5" customHeight="1" spans="1:27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5" customHeight="1" spans="1:27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5" customHeight="1" spans="1:27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5" customHeight="1" spans="1:27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5" customHeight="1" spans="1:27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5" customHeight="1" spans="1:27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5" customHeight="1" spans="1:27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5" customHeight="1" spans="1:27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5" customHeight="1" spans="1:27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5" customHeight="1" spans="1:27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5" customHeight="1" spans="1:27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5" customHeight="1" spans="1:27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5" customHeight="1" spans="1:27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5" customHeight="1" spans="1:27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5" customHeight="1" spans="1:27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5" customHeight="1" spans="1:27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5" customHeight="1" spans="1:27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5" customHeight="1" spans="1:27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5" customHeight="1" spans="1:27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5" customHeight="1" spans="1:27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5" customHeight="1" spans="1:27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5" customHeight="1" spans="1:27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5" customHeight="1" spans="1:27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5" customHeight="1" spans="1:27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5" customHeight="1" spans="1:27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5" customHeight="1" spans="1:27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5" customHeight="1" spans="1:27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5" customHeight="1" spans="1:27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5" customHeight="1" spans="1:27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5" customHeight="1" spans="1:27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5" customHeight="1" spans="1:27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5" customHeight="1" spans="1:27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5" customHeight="1" spans="1:27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5" customHeight="1" spans="1:27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5" customHeight="1" spans="1:27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5" customHeight="1" spans="1:27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5" customHeight="1" spans="1:27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5" customHeight="1" spans="1:27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5" customHeight="1" spans="1:27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5" customHeight="1" spans="1:27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5" customHeight="1" spans="1:27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5" customHeight="1" spans="1:27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5" customHeight="1" spans="1:27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5" customHeight="1" spans="1:27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5" customHeight="1" spans="1:27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5" customHeight="1" spans="1:27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5" customHeight="1" spans="1:27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5" customHeight="1" spans="1:27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5" customHeight="1" spans="1:27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5" customHeight="1" spans="1:27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5" customHeight="1" spans="1:27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5" customHeight="1" spans="1:27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5" customHeight="1" spans="1:27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5" customHeight="1" spans="1:27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5" customHeight="1" spans="1:27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5" customHeight="1" spans="1:27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5" customHeight="1" spans="1:27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5" customHeight="1" spans="1:27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5" customHeight="1" spans="1:27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5" customHeight="1" spans="1:27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5" customHeight="1" spans="1:27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5" customHeight="1" spans="1:27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5" customHeight="1" spans="1:27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5" customHeight="1" spans="1:27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5" customHeight="1" spans="1:27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5" customHeight="1" spans="1:27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5" customHeight="1" spans="1:27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5" customHeight="1" spans="1:27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5" customHeight="1" spans="1:27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5" customHeight="1" spans="1:27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5" customHeight="1" spans="1:27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5" customHeight="1" spans="1:27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5" customHeight="1" spans="1:27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5" customHeight="1" spans="1:27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5" customHeight="1" spans="1:27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5" customHeight="1" spans="1:27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5" customHeight="1" spans="1:27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5" customHeight="1" spans="1:27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5" customHeight="1" spans="1:27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5" customHeight="1" spans="1:27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5" customHeight="1" spans="1:27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5" customHeight="1" spans="1:27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5" customHeight="1" spans="1:27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5" customHeight="1" spans="1:27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5" customHeight="1" spans="1:27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5" customHeight="1" spans="1:27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5" customHeight="1" spans="1:27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5" customHeight="1" spans="1:27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5" customHeight="1" spans="1:27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5" customHeight="1" spans="1:27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5" customHeight="1" spans="1:27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5" customHeight="1" spans="1:27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5" customHeight="1" spans="1:27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5" customHeight="1" spans="1:27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5" customHeight="1" spans="1:27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5" customHeight="1" spans="1:27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5" customHeight="1" spans="1:27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5" customHeight="1" spans="1:27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5" customHeight="1" spans="1:27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5" customHeight="1" spans="1:27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5" customHeight="1" spans="1:27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5" customHeight="1" spans="1:27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5" customHeight="1" spans="1:27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5" customHeight="1" spans="1:27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5" customHeight="1" spans="1:27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5" customHeight="1" spans="1:27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5" customHeight="1" spans="1:27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5" customHeight="1" spans="1:27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5" customHeight="1" spans="1:27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5" customHeight="1" spans="1:27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5" customHeight="1" spans="1:27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5" customHeight="1" spans="1:27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5" customHeight="1" spans="1:27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5" customHeight="1" spans="1:27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5" customHeight="1" spans="1:27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5" customHeight="1" spans="1:27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5" customHeight="1" spans="1:27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5" customHeight="1" spans="1:27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5" customHeight="1" spans="1:27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5" customHeight="1" spans="1:27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5" customHeight="1" spans="1:27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5" customHeight="1" spans="1:27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5" customHeight="1" spans="1:27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5" customHeight="1" spans="1:27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5" customHeight="1" spans="1:27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5" customHeight="1" spans="1:27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5" customHeight="1" spans="1:27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5" customHeight="1" spans="1:27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5" customHeight="1" spans="1:27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5" customHeight="1" spans="1:27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5" customHeight="1" spans="1:27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5" customHeight="1" spans="1:27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5" customHeight="1" spans="1:27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5" customHeight="1" spans="1:27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5" customHeight="1" spans="1:27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5" customHeight="1" spans="1:27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5" customHeight="1" spans="1:27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5" customHeight="1" spans="1:27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5" customHeight="1" spans="1:27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5" customHeight="1" spans="1:27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5" customHeight="1" spans="1:27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5" customHeight="1" spans="1:27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5" customHeight="1" spans="1:27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5" customHeight="1" spans="1:27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5" customHeight="1" spans="1:27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5" customHeight="1" spans="1:27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5" customHeight="1" spans="1:27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5" customHeight="1" spans="1:27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5" customHeight="1" spans="1:27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5" customHeight="1" spans="1:27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5" customHeight="1" spans="1:27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5" customHeight="1" spans="1:27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5" customHeight="1" spans="1:27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5" customHeight="1" spans="1:27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5" customHeight="1" spans="1:27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5" customHeight="1" spans="1:27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5" customHeight="1" spans="1:27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5" customHeight="1" spans="1:27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5" customHeight="1" spans="1:27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5" customHeight="1" spans="1:27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5" customHeight="1" spans="1:27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5" customHeight="1" spans="1:27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5" customHeight="1" spans="1:27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5" customHeight="1" spans="1:27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5" customHeight="1" spans="1:27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5" customHeight="1" spans="1:27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5" customHeight="1" spans="1:27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5" customHeight="1" spans="1:27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5" customHeight="1" spans="1:27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5" customHeight="1" spans="1:27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5" customHeight="1" spans="1:27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5" customHeight="1" spans="1:27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5" customHeight="1" spans="1:27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5" customHeight="1" spans="1:27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5" customHeight="1" spans="1:27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5" customHeight="1" spans="1:27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5" customHeight="1" spans="1:27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5" customHeight="1" spans="1:27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5" customHeight="1" spans="1:27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5" customHeight="1" spans="1:27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5" customHeight="1" spans="1:27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5" customHeight="1" spans="1:27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5" customHeight="1" spans="1:27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5" customHeight="1" spans="1:27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5" customHeight="1" spans="1:27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5" customHeight="1" spans="1:27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5" customHeight="1" spans="1:27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5" customHeight="1" spans="1:27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5" customHeight="1" spans="1:27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5" customHeight="1" spans="1:27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5" customHeight="1" spans="1:27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5" customHeight="1" spans="1:27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5" customHeight="1" spans="1:27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5" customHeight="1" spans="1:27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5" customHeight="1" spans="1:27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5" customHeight="1" spans="1:27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5" customHeight="1" spans="1:27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5" customHeight="1" spans="1:27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5" customHeight="1" spans="1:27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5" customHeight="1" spans="1:27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5" customHeight="1" spans="1:27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5" customHeight="1" spans="1:27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5" customHeight="1" spans="1:27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5" customHeight="1" spans="1:27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5" customHeight="1" spans="1:27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5" customHeight="1" spans="1:27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5" customHeight="1" spans="1:27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5" customHeight="1" spans="1:27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5" customHeight="1" spans="1:27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5" customHeight="1" spans="1:27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5" customHeight="1" spans="1:27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5" customHeight="1" spans="1:27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5" customHeight="1" spans="1:27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5" customHeight="1" spans="1:27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5" customHeight="1" spans="1:27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5" customHeight="1" spans="1:27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5" customHeight="1" spans="1:27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5" customHeight="1" spans="1:27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5" customHeight="1" spans="1:27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5" customHeight="1" spans="1:27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5" customHeight="1" spans="1:27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5" customHeight="1" spans="1:27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5" customHeight="1" spans="1:27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5" customHeight="1" spans="1:27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5" customHeight="1" spans="1:27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5" customHeight="1" spans="1:27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5" customHeight="1" spans="1:27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5" customHeight="1" spans="1:27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5" customHeight="1" spans="1:27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5" customHeight="1" spans="1:27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5" customHeight="1" spans="1:27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5" customHeight="1" spans="1:27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5" customHeight="1" spans="1:27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5" customHeight="1" spans="1:27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5" customHeight="1" spans="1:27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5" customHeight="1" spans="1:27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5" customHeight="1" spans="1:27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5" customHeight="1" spans="1:27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5" customHeight="1" spans="1:27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5" customHeight="1" spans="1:27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5" customHeight="1" spans="1:27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5" customHeight="1" spans="1:27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5" customHeight="1" spans="1:27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5" customHeight="1" spans="1:27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5" customHeight="1" spans="1:27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5" customHeight="1" spans="1:27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5" customHeight="1" spans="1:27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5" customHeight="1" spans="1:27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5" customHeight="1" spans="1:27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5" customHeight="1" spans="1:27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5" customHeight="1" spans="1:27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5" customHeight="1" spans="1:27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5" customHeight="1" spans="1:27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5" customHeight="1" spans="1:27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5" customHeight="1" spans="1:27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5" customHeight="1" spans="1:27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5" customHeight="1" spans="1:27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5" customHeight="1" spans="1:27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5" customHeight="1" spans="1:27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5" customHeight="1" spans="1:27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5" customHeight="1" spans="1:27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5" customHeight="1" spans="1:27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5" customHeight="1" spans="1:27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5" customHeight="1" spans="1:27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5" customHeight="1" spans="1:27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5" customHeight="1" spans="1:27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5" customHeight="1" spans="1:27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5" customHeight="1" spans="1:27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5" customHeight="1" spans="1:27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5" customHeight="1" spans="1:27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5" customHeight="1" spans="1:27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5" customHeight="1" spans="1:27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5" customHeight="1" spans="1:27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5" customHeight="1" spans="1:27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5" customHeight="1" spans="1:27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5" customHeight="1" spans="1:27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5" customHeight="1" spans="1:27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5" customHeight="1" spans="1:27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5" customHeight="1" spans="1:27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5" customHeight="1" spans="1:27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5" customHeight="1" spans="1:27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5" customHeight="1" spans="1:27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5" customHeight="1" spans="1:27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5" customHeight="1" spans="1:27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5" customHeight="1" spans="1:27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5" customHeight="1" spans="1:27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5" customHeight="1" spans="1:27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5" customHeight="1" spans="1:27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5" customHeight="1" spans="1:27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5" customHeight="1" spans="1:27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5" customHeight="1" spans="1:27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5" customHeight="1" spans="1:27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5" customHeight="1" spans="1:27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5" customHeight="1" spans="1:27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5" customHeight="1" spans="1:27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5" customHeight="1" spans="1:27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5" customHeight="1" spans="1:27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5" customHeight="1" spans="1:27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5" customHeight="1" spans="1:27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5" customHeight="1" spans="1:27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5" customHeight="1" spans="1:27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5" customHeight="1" spans="1:27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5" customHeight="1" spans="1:27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5" customHeight="1" spans="1:27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5" customHeight="1" spans="1:27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5" customHeight="1" spans="1:27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5" customHeight="1" spans="1:27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5" customHeight="1" spans="1:27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5" customHeight="1" spans="1:27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5" customHeight="1" spans="1:27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5" customHeight="1" spans="1:27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5" customHeight="1" spans="1:27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5" customHeight="1" spans="1:27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5" customHeight="1" spans="1:27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5" customHeight="1" spans="1:27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5" customHeight="1" spans="1:27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5" customHeight="1" spans="1:27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5" customHeight="1" spans="1:27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5" customHeight="1" spans="1:27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5" customHeight="1" spans="1:27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5" customHeight="1" spans="1:27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5" customHeight="1" spans="1:27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5" customHeight="1" spans="1:27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5" customHeight="1" spans="1:27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5" customHeight="1" spans="1:27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5" customHeight="1" spans="1:27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5" customHeight="1" spans="1:27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5" customHeight="1" spans="1:27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5" customHeight="1" spans="1:27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5" customHeight="1" spans="1:27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5" customHeight="1" spans="1:27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5" customHeight="1" spans="1:27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5" customHeight="1" spans="1:27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5" customHeight="1" spans="1:27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5" customHeight="1" spans="1:27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5" customHeight="1" spans="1:27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5" customHeight="1" spans="1:27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5" customHeight="1" spans="1:27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5" customHeight="1" spans="1:27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5" customHeight="1" spans="1:27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5" customHeight="1" spans="1:27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5" customHeight="1" spans="1:27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5" customHeight="1" spans="1:27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5" customHeight="1" spans="1:27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5" customHeight="1" spans="1:27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5" customHeight="1" spans="1:27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5" customHeight="1" spans="1:27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5" customHeight="1" spans="1:27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5" customHeight="1" spans="1:27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5" customHeight="1" spans="1:27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5" customHeight="1" spans="1:27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5" customHeight="1" spans="1:27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5" customHeight="1" spans="1:27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5" customHeight="1" spans="1:27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5" customHeight="1" spans="1:27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5" customHeight="1" spans="1:27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5" customHeight="1" spans="1:27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5" customHeight="1" spans="1:27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5" customHeight="1" spans="1:27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5" customHeight="1" spans="1:27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5" customHeight="1" spans="1:27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5" customHeight="1" spans="1:27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5" customHeight="1" spans="1:27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5" customHeight="1" spans="1:27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5" customHeight="1" spans="1:27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5" customHeight="1" spans="1:27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5" customHeight="1" spans="1:27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5" customHeight="1" spans="1:27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5" customHeight="1" spans="1:27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5" customHeight="1" spans="1:27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5" customHeight="1" spans="1:27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5" customHeight="1" spans="1:27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5" customHeight="1" spans="1:27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5" customHeight="1" spans="1:27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5" customHeight="1" spans="1:27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5" customHeight="1" spans="1:27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5" customHeight="1" spans="1:27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5" customHeight="1" spans="1:27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5" customHeight="1" spans="1:27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5" customHeight="1" spans="1:27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5" customHeight="1" spans="1:27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5" customHeight="1" spans="1:27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5" customHeight="1" spans="1:27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5" customHeight="1" spans="1:27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5" customHeight="1" spans="1:27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5" customHeight="1" spans="1:27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5" customHeight="1" spans="1:27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5" customHeight="1" spans="1:27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5" customHeight="1" spans="1:27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5" customHeight="1" spans="1:27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5" customHeight="1" spans="1:27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5" customHeight="1" spans="1:27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5" customHeight="1" spans="1:27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5" customHeight="1" spans="1:27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5" customHeight="1" spans="1:27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5" customHeight="1" spans="1:27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5" customHeight="1" spans="1:27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5" customHeight="1" spans="1:27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5" customHeight="1" spans="1:27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5" customHeight="1" spans="1:27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5" customHeight="1" spans="1:27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5" customHeight="1" spans="1:27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5" customHeight="1" spans="1:27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5" customHeight="1" spans="1:27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5" customHeight="1" spans="1:27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5" customHeight="1" spans="1:27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5" customHeight="1" spans="1:27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5" customHeight="1" spans="1:27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5" customHeight="1" spans="1:27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5" customHeight="1" spans="1:27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5" customHeight="1" spans="1:27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5" customHeight="1" spans="1:27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5" customHeight="1" spans="1:27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5" customHeight="1" spans="1:27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5" customHeight="1" spans="1:27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5" customHeight="1" spans="1:27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5" customHeight="1" spans="1:27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5" customHeight="1" spans="1:27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5" customHeight="1" spans="1:27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5" customHeight="1" spans="1:27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5" customHeight="1" spans="1:27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5" customHeight="1" spans="1:27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5" customHeight="1" spans="1:27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5" customHeight="1" spans="1:27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5" customHeight="1" spans="1:27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5" customHeight="1" spans="1:27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5" customHeight="1" spans="1:27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5" customHeight="1" spans="1:27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5" customHeight="1" spans="1:27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5" customHeight="1" spans="1:27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5" customHeight="1" spans="1:27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5" customHeight="1" spans="1:27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5" customHeight="1" spans="1:27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5" customHeight="1" spans="1:27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5" customHeight="1" spans="1:27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5" customHeight="1" spans="1:27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5" customHeight="1" spans="1:27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5" customHeight="1" spans="1:27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5" customHeight="1" spans="1:27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5" customHeight="1" spans="1:27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5" customHeight="1" spans="1:27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5" customHeight="1" spans="1:27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5" customHeight="1" spans="1:27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5" customHeight="1" spans="1:27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5" customHeight="1" spans="1:27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5" customHeight="1" spans="1:27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5" customHeight="1" spans="1:27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5" customHeight="1" spans="1:27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5" customHeight="1" spans="1:27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5" customHeight="1" spans="1:27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5" customHeight="1" spans="1:27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5" customHeight="1" spans="1:27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5" customHeight="1" spans="1:27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5" customHeight="1" spans="1:27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5" customHeight="1" spans="1:27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5" customHeight="1" spans="1:27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5" customHeight="1" spans="1:27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5" customHeight="1" spans="1:27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5" customHeight="1" spans="1:27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5" customHeight="1" spans="1:27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5" customHeight="1" spans="1:27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5" customHeight="1" spans="1:27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5" customHeight="1" spans="1:27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5" customHeight="1" spans="1:27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5" customHeight="1" spans="1:27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5" customHeight="1" spans="1:27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5" customHeight="1" spans="1:27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5" customHeight="1" spans="1:27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5" customHeight="1" spans="1:27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5" customHeight="1" spans="1:27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5" customHeight="1" spans="1:27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5" customHeight="1" spans="1:27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5" customHeight="1" spans="1:27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5" customHeight="1" spans="1:27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5" customHeight="1" spans="1:27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5" customHeight="1" spans="1:27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5" customHeight="1" spans="1:27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5" customHeight="1" spans="1:27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5" customHeight="1" spans="1:27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5" customHeight="1" spans="1:27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5" customHeight="1" spans="1:27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5" customHeight="1" spans="1:27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5" customHeight="1" spans="1:27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5" customHeight="1" spans="1:27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5" customHeight="1" spans="1:27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5" customHeight="1" spans="1:27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5" customHeight="1" spans="1:27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5" customHeight="1" spans="1:27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5" customHeight="1" spans="1:27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5" customHeight="1" spans="1:27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5" customHeight="1" spans="1:27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5" customHeight="1" spans="1:27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5" customHeight="1" spans="1:27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5" customHeight="1" spans="1:27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5" customHeight="1" spans="1:27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5" customHeight="1" spans="1:27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5" customHeight="1" spans="1:27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5" customHeight="1" spans="1:27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5" customHeight="1" spans="1:27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5" customHeight="1" spans="1:27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5" customHeight="1" spans="1:27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5" customHeight="1" spans="1:27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5" customHeight="1" spans="1:27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5" customHeight="1" spans="1:27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5" customHeight="1" spans="1:27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5" customHeight="1" spans="1:27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5" customHeight="1" spans="1:27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5" customHeight="1" spans="1:27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5" customHeight="1" spans="1:27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5" customHeight="1" spans="1:27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5" customHeight="1" spans="1:27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5" customHeight="1" spans="1:27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5" customHeight="1" spans="1:27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5" customHeight="1" spans="1:27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5" customHeight="1" spans="1:27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5" customHeight="1" spans="1:27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5" customHeight="1" spans="1:27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5" customHeight="1" spans="1:27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5" customHeight="1" spans="1:27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5" customHeight="1" spans="1:27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5" customHeight="1" spans="1:27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5" customHeight="1" spans="1:27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5" customHeight="1" spans="1:27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5" customHeight="1" spans="1:27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5" customHeight="1" spans="1:27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5" customHeight="1" spans="1:27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5" customHeight="1" spans="1:27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5" customHeight="1" spans="1:27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5" customHeight="1" spans="1:27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5" customHeight="1" spans="1:27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5" customHeight="1" spans="1:27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5" customHeight="1" spans="1:27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5" customHeight="1" spans="1:27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5" customHeight="1" spans="1:27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5" customHeight="1" spans="1:27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5" customHeight="1" spans="1:27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5" customHeight="1" spans="1:27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5" customHeight="1" spans="1:27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5" customHeight="1" spans="1:27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5" customHeight="1" spans="1:27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5" customHeight="1" spans="1:27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5" customHeight="1" spans="1:27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5" customHeight="1" spans="1:27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5" customHeight="1" spans="1:27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5" customHeight="1" spans="1:27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5" customHeight="1" spans="1:27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5" customHeight="1" spans="1:27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5" customHeight="1" spans="1:27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5" customHeight="1" spans="1:27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5" customHeight="1" spans="1:27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5" customHeight="1" spans="1:27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5" customHeight="1" spans="1:27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5" customHeight="1" spans="1:27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5" customHeight="1" spans="1:27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5" customHeight="1" spans="1:27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5" customHeight="1" spans="1:27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5" customHeight="1" spans="1:27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5" customHeight="1" spans="1:27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5" customHeight="1" spans="1:27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5" customHeight="1" spans="1:27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5" customHeight="1" spans="1:27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5" customHeight="1" spans="1:27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5" customHeight="1" spans="1:27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5" customHeight="1" spans="1:27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5" customHeight="1" spans="1:27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5" customHeight="1" spans="1:27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5" customHeight="1" spans="1:27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5" customHeight="1" spans="1:27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5" customHeight="1" spans="1:27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5" customHeight="1" spans="1:27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5" customHeight="1" spans="1:27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5" customHeight="1" spans="1:27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5" customHeight="1" spans="1:27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5" customHeight="1" spans="1:27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5" customHeight="1" spans="1:27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5" customHeight="1" spans="1:27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5" customHeight="1" spans="1:27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5" customHeight="1" spans="1:27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5" customHeight="1" spans="1:27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5" customHeight="1" spans="1:27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5" customHeight="1" spans="1:27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5" customHeight="1" spans="1:27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5" customHeight="1" spans="1:27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5" customHeight="1" spans="1:27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5" customHeight="1" spans="1:27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5" customHeight="1" spans="1:27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5" customHeight="1" spans="1:27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5" customHeight="1" spans="1:27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5" customHeight="1" spans="1:27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5" customHeight="1" spans="1:27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5" customHeight="1" spans="1:27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5" customHeight="1" spans="1:27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5" customHeight="1" spans="1:27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5" customHeight="1" spans="1:27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5" customHeight="1" spans="1:27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5" customHeight="1" spans="1:27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5" customHeight="1" spans="1:27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5" customHeight="1" spans="1:27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5" customHeight="1" spans="1:27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5" customHeight="1" spans="1:27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5" customHeight="1" spans="1:27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5" customHeight="1" spans="1:27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5" customHeight="1" spans="1:27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5" customHeight="1" spans="1:27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5" customHeight="1" spans="1:27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5" customHeight="1" spans="1:27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5" customHeight="1" spans="1:27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5" customHeight="1" spans="1:27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5" customHeight="1" spans="1:27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5" customHeight="1" spans="1:27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5" customHeight="1" spans="1:27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5" customHeight="1" spans="1:27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5" customHeight="1" spans="1:27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5" customHeight="1" spans="1:27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5" customHeight="1" spans="1:27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5" customHeight="1" spans="1:27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5" customHeight="1" spans="1:27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5" customHeight="1" spans="1:27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5" customHeight="1" spans="1:27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5" customHeight="1" spans="1:27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5" customHeight="1" spans="1:27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5" customHeight="1" spans="1:27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5" customHeight="1" spans="1:27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5" customHeight="1" spans="1:27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5" customHeight="1" spans="1:27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5" customHeight="1" spans="1:27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5" customHeight="1" spans="1:27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5" customHeight="1" spans="1:27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5" customHeight="1" spans="1:27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5" customHeight="1" spans="1:27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5" customHeight="1" spans="1:27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5" customHeight="1" spans="1:27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5" customHeight="1" spans="1:27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5" customHeight="1" spans="1:27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5" customHeight="1" spans="1:27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5" customHeight="1" spans="1:27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5" customHeight="1" spans="1:27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5" customHeight="1" spans="1:27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5" customHeight="1" spans="1:27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5" customHeight="1" spans="1:27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5" customHeight="1" spans="1:27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5" customHeight="1" spans="1:27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5" customHeight="1" spans="1:27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5" customHeight="1" spans="1:27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5" customHeight="1" spans="1:27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5" customHeight="1" spans="1:27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5" customHeight="1" spans="1:27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5" customHeight="1" spans="1:27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5" customHeight="1" spans="1:27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5" customHeight="1" spans="1:27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5" customHeight="1" spans="1:27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5" customHeight="1" spans="1:27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5" customHeight="1" spans="1:27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5" customHeight="1" spans="1:27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5" customHeight="1" spans="1:27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5" customHeight="1" spans="1:27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5" customHeight="1" spans="1:27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5" customHeight="1" spans="1:27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5" customHeight="1" spans="1:27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5" customHeight="1" spans="1:27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5" customHeight="1" spans="1:27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5" customHeight="1" spans="1:27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5" customHeight="1" spans="1:27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5" customHeight="1" spans="1:27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5" customHeight="1" spans="1:27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5" customHeight="1" spans="1:27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5" customHeight="1" spans="1:27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5" customHeight="1" spans="1:27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5" customHeight="1" spans="1:27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5" customHeight="1" spans="1:27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5" customHeight="1" spans="1:27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5" customHeight="1" spans="1:27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5" customHeight="1" spans="1:27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5" customHeight="1" spans="1:27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5" customHeight="1" spans="1:27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5" customHeight="1" spans="1:27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5" customHeight="1" spans="1:27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5" customHeight="1" spans="1:27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5" customHeight="1" spans="1:27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5" customHeight="1" spans="1:27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5" customHeight="1" spans="1:27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5" customHeight="1" spans="1:27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5" customHeight="1" spans="1:27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5" customHeight="1" spans="1:27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5" customHeight="1" spans="1:27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5" customHeight="1" spans="1:27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5" customHeight="1" spans="1:27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5" customHeight="1" spans="1:27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5" customHeight="1" spans="1:27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5" customHeight="1" spans="1:27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5" customHeight="1" spans="1:27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5" customHeight="1" spans="1:27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5" customHeight="1" spans="1:27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5" customHeight="1" spans="1:27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5" customHeight="1" spans="1:27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5" customHeight="1" spans="1:27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5" customHeight="1" spans="1:27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5" customHeight="1" spans="1:27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5" customHeight="1" spans="1:27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5" customHeight="1" spans="1:27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5" customHeight="1" spans="1:27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5" customHeight="1" spans="1:27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5" customHeight="1" spans="1:27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5" customHeight="1" spans="1:27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5" customHeight="1" spans="1:27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5" customHeight="1" spans="1:27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5" customHeight="1" spans="1:27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5" customHeight="1" spans="1:27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5" customHeight="1" spans="1:27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5" customHeight="1" spans="1:27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5" customHeight="1" spans="1:27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5" customHeight="1" spans="1:27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5" customHeight="1" spans="1:27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5" customHeight="1" spans="1:27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5" customHeight="1" spans="1:27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5" customHeight="1" spans="1:27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5" customHeight="1" spans="1:27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5" customHeight="1" spans="1:27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5" customHeight="1" spans="1:27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5" customHeight="1" spans="1:27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5" customHeight="1" spans="1:27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5" customHeight="1" spans="1:27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5" customHeight="1" spans="1:27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5" customHeight="1" spans="1:27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5" customHeight="1" spans="1:27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5" customHeight="1" spans="1:27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5" customHeight="1" spans="1:27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5" customHeight="1" spans="1:27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5" customHeight="1" spans="1:27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5" customHeight="1" spans="1:27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5" customHeight="1" spans="1:27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5" customHeight="1" spans="1:27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5" customHeight="1" spans="1:27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5" customHeight="1" spans="1:27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5" customHeight="1" spans="1:27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5" customHeight="1" spans="1:27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5" customHeight="1" spans="1:27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5" customHeight="1" spans="1:27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5" customHeight="1" spans="1:27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5" customHeight="1" spans="1:27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5" customHeight="1" spans="1:27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5" customHeight="1" spans="1:27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5" customHeight="1" spans="1:27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5" customHeight="1" spans="1:27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5" customHeight="1" spans="1:27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5" customHeight="1" spans="1:27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5" customHeight="1" spans="1:27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5" customHeight="1" spans="1:27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5" customHeight="1" spans="1:27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5" customHeight="1" spans="1:27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5" customHeight="1" spans="1:27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5" customHeight="1" spans="1:27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5" customHeight="1" spans="1:27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5" customHeight="1" spans="1:27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5" customHeight="1" spans="1:27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5" customHeight="1" spans="1:27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5" customHeight="1" spans="1:27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5" customHeight="1" spans="1:27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5" customHeight="1" spans="1:27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5" customHeight="1" spans="1:27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5" customHeight="1" spans="1:27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5" customHeight="1" spans="1:27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5" customHeight="1" spans="1:27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5" customHeight="1" spans="1:27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5" customHeight="1" spans="1:27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5" customHeight="1" spans="1:27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5" customHeight="1" spans="1:27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5" customHeight="1" spans="1:27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5" customHeight="1" spans="1:27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5" customHeight="1" spans="1:27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5" customHeight="1" spans="1:27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5" customHeight="1" spans="1:27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5" customHeight="1" spans="1:27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5" customHeight="1" spans="1:27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5" customHeight="1" spans="1:27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5" customHeight="1" spans="1:27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5" customHeight="1" spans="1:27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5" customHeight="1" spans="1:27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5" customHeight="1" spans="1:27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5" customHeight="1" spans="1:27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5" customHeight="1" spans="1:27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5" customHeight="1" spans="1:27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5" customHeight="1" spans="1:27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5" customHeight="1" spans="1:27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5" customHeight="1" spans="1:27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5" customHeight="1" spans="1:27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5" customHeight="1" spans="1:27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5" customHeight="1" spans="1:27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5" customHeight="1" spans="1:27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5" customHeight="1" spans="1:27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5" customHeight="1" spans="1:27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5" customHeight="1" spans="1:27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5" customHeight="1" spans="1:27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5" customHeight="1" spans="1:27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5" customHeight="1" spans="1:27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5" customHeight="1" spans="1:27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5" customHeight="1" spans="1:27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5" customHeight="1" spans="1:27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5" customHeight="1" spans="1:27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5" customHeight="1" spans="1:27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5" customHeight="1" spans="1:27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5" customHeight="1" spans="1:27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5" customHeight="1" spans="1:27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5" customHeight="1" spans="1:27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5" customHeight="1" spans="1:27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5" customHeight="1" spans="1:27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5" customHeight="1" spans="1:27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5" customHeight="1" spans="1:27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5" customHeight="1" spans="1:27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5" customHeight="1" spans="1:27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5" customHeight="1" spans="1:27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5" customHeight="1" spans="1:27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5" customHeight="1" spans="1:27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5" customHeight="1" spans="1:27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5" customHeight="1" spans="1:27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5" customHeight="1" spans="1:27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5" customHeight="1" spans="1:27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5" customHeight="1" spans="1:27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5" customHeight="1" spans="1:27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5" customHeight="1" spans="1:27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5" customHeight="1" spans="1:27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5" customHeight="1" spans="1:27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5" customHeight="1" spans="1:27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5" customHeight="1" spans="1:27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5" customHeight="1" spans="1:27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5" customHeight="1" spans="1:27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5" customHeight="1" spans="1:27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5" customHeight="1" spans="1:27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5" customHeight="1" spans="1:27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5" customHeight="1" spans="1:27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5" customHeight="1" spans="1:27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5" customHeight="1" spans="1:27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5" customHeight="1" spans="1:27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5" customHeight="1" spans="1:27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5" customHeight="1" spans="1:27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5" customHeight="1" spans="1:27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5" customHeight="1" spans="1:27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5" customHeight="1" spans="1:27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5" customHeight="1" spans="1:27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5" customHeight="1" spans="1:27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5" customHeight="1" spans="1:27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5" customHeight="1" spans="1:27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5" customHeight="1" spans="1:27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5" customHeight="1" spans="1:27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5" customHeight="1" spans="1:27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5" customHeight="1" spans="1:27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5" customHeight="1" spans="1:27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5" customHeight="1" spans="1:27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5" customHeight="1" spans="1:27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5" customHeight="1" spans="1:27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5" customHeight="1" spans="1:27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5" customHeight="1" spans="1:27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 ht="15" customHeight="1" spans="1:27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 ht="15" customHeight="1" spans="1:27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 ht="15" customHeight="1" spans="1:27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 ht="15" customHeight="1" spans="1:27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 ht="15" customHeight="1" spans="1:27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 ht="15" customHeight="1" spans="1:27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ht="15" customHeight="1" spans="1:27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  <row r="1000" ht="15" customHeight="1" spans="1:27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zoomScale="80" zoomScaleNormal="80" view="normal">
      <selection activeCell="B2" sqref="B2"/>
    </sheetView>
  </sheetViews>
  <sheetFormatPr defaultRowHeight="15" outlineLevelRow="0" outlineLevelCol="0" x14ac:dyDescent="0"/>
  <cols>
    <col min="1" max="1025" width="11.2" customWidth="1"/>
  </cols>
  <sheetData>
    <row r="1" ht="53.25" customHeight="1" spans="1:3" x14ac:dyDescent="0.25">
      <c r="A1" s="101"/>
      <c r="B1" s="101" t="s">
        <v>524</v>
      </c>
      <c r="C1" s="101" t="s">
        <v>501</v>
      </c>
    </row>
    <row r="2" ht="15" customHeight="1" spans="1:3" x14ac:dyDescent="0.25">
      <c r="A2" s="15">
        <v>1</v>
      </c>
      <c r="B2" s="15" t="s">
        <v>2</v>
      </c>
      <c r="C2" s="15" t="s">
        <v>525</v>
      </c>
    </row>
    <row r="3" ht="15" customHeight="1" spans="1:3" x14ac:dyDescent="0.25">
      <c r="A3" s="15">
        <v>2</v>
      </c>
      <c r="B3" s="15" t="s">
        <v>3</v>
      </c>
      <c r="C3" s="15" t="s">
        <v>526</v>
      </c>
    </row>
    <row r="4" ht="15" customHeight="1" spans="1:3" x14ac:dyDescent="0.25">
      <c r="A4" s="15">
        <v>3</v>
      </c>
      <c r="B4" s="15" t="s">
        <v>4</v>
      </c>
      <c r="C4" s="15" t="s">
        <v>527</v>
      </c>
    </row>
    <row r="5" ht="15" customHeight="1" spans="1:3" x14ac:dyDescent="0.25">
      <c r="A5" s="15">
        <v>4</v>
      </c>
      <c r="B5" s="15" t="s">
        <v>5</v>
      </c>
      <c r="C5" s="15" t="s">
        <v>528</v>
      </c>
    </row>
    <row r="6" ht="15" customHeight="1" spans="1:3" x14ac:dyDescent="0.25">
      <c r="A6" s="15">
        <v>5</v>
      </c>
      <c r="B6" s="15" t="s">
        <v>6</v>
      </c>
      <c r="C6" s="15" t="s">
        <v>529</v>
      </c>
    </row>
    <row r="7" ht="15" customHeight="1" spans="1:3" x14ac:dyDescent="0.25">
      <c r="A7" s="15">
        <v>6</v>
      </c>
      <c r="B7" s="15" t="s">
        <v>7</v>
      </c>
      <c r="C7" s="15" t="s">
        <v>530</v>
      </c>
    </row>
    <row r="8" ht="15" customHeight="1" spans="1:3" x14ac:dyDescent="0.25">
      <c r="A8" s="15">
        <v>7</v>
      </c>
      <c r="B8" s="15"/>
      <c r="C8" s="15"/>
    </row>
    <row r="9" ht="15" customHeight="1" spans="1:3" x14ac:dyDescent="0.25">
      <c r="A9" s="15">
        <v>8</v>
      </c>
      <c r="B9" s="82"/>
      <c r="C9" s="82"/>
    </row>
    <row r="10" ht="15" customHeight="1" spans="1:3" x14ac:dyDescent="0.25">
      <c r="A10" s="15">
        <v>9</v>
      </c>
      <c r="B10" s="82"/>
      <c r="C10" s="82"/>
    </row>
    <row r="11" ht="15" customHeight="1" spans="1:3" x14ac:dyDescent="0.25">
      <c r="A11" s="82"/>
      <c r="B11" s="82"/>
      <c r="C11" s="82"/>
    </row>
    <row r="12" ht="15" customHeight="1" spans="1:3" x14ac:dyDescent="0.25">
      <c r="A12" s="82"/>
      <c r="B12" s="82"/>
      <c r="C12" s="82"/>
    </row>
    <row r="13" ht="15" customHeight="1" spans="1:3" x14ac:dyDescent="0.25">
      <c r="A13" s="82"/>
      <c r="B13" s="82"/>
      <c r="C13" s="82"/>
    </row>
    <row r="14" ht="15" customHeight="1" spans="1:3" x14ac:dyDescent="0.25">
      <c r="A14" s="82"/>
      <c r="B14" s="82"/>
      <c r="C14" s="82"/>
    </row>
    <row r="15" ht="15" customHeight="1" spans="1:3" x14ac:dyDescent="0.25">
      <c r="A15" s="82"/>
      <c r="B15" s="82"/>
      <c r="C15" s="82"/>
    </row>
    <row r="16" ht="15" customHeight="1" spans="1:3" x14ac:dyDescent="0.25">
      <c r="A16" s="82"/>
      <c r="B16" s="82"/>
      <c r="C16" s="82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4" customWidth="1"/>
    <col min="2" max="2" width="26" customWidth="1"/>
    <col min="3" max="3" width="17" customWidth="1"/>
    <col min="4" max="18" width="10.44" customWidth="1"/>
    <col min="19" max="1025" width="11.2" customWidth="1"/>
  </cols>
  <sheetData>
    <row r="1" ht="15.75" customHeight="1" x14ac:dyDescent="0.25"/>
    <row r="2" ht="15.75" customHeight="1" spans="1:3" x14ac:dyDescent="0.25">
      <c r="A2" s="83" t="s">
        <v>531</v>
      </c>
      <c r="B2" s="83" t="s">
        <v>532</v>
      </c>
      <c r="C2" s="83" t="s">
        <v>533</v>
      </c>
    </row>
    <row r="3" ht="15.75" customHeight="1" spans="1:3" x14ac:dyDescent="0.25">
      <c r="A3" s="83" t="s">
        <v>290</v>
      </c>
      <c r="B3" s="83" t="s">
        <v>9</v>
      </c>
      <c r="C3" s="83" t="s">
        <v>23</v>
      </c>
    </row>
    <row r="4" ht="15.75" customHeight="1" spans="1:3" x14ac:dyDescent="0.25">
      <c r="A4" s="83" t="s">
        <v>291</v>
      </c>
      <c r="B4" s="83" t="s">
        <v>10</v>
      </c>
      <c r="C4" s="83" t="s">
        <v>24</v>
      </c>
    </row>
    <row r="5" ht="15.75" customHeight="1" spans="1:3" x14ac:dyDescent="0.25">
      <c r="A5" s="83" t="s">
        <v>292</v>
      </c>
      <c r="B5" s="83" t="s">
        <v>11</v>
      </c>
      <c r="C5" s="83" t="s">
        <v>25</v>
      </c>
    </row>
    <row r="6" ht="15.75" customHeight="1" spans="1:18" x14ac:dyDescent="0.25">
      <c r="A6" s="83" t="s">
        <v>293</v>
      </c>
      <c r="B6" s="83" t="s">
        <v>12</v>
      </c>
      <c r="C6" s="83" t="s">
        <v>26</v>
      </c>
      <c r="R6" s="83"/>
    </row>
    <row r="7" ht="15.75" customHeight="1" spans="1:18" x14ac:dyDescent="0.25">
      <c r="A7" s="83" t="s">
        <v>20</v>
      </c>
      <c r="B7" s="83" t="s">
        <v>13</v>
      </c>
      <c r="C7" s="83" t="s">
        <v>27</v>
      </c>
      <c r="R7" s="83"/>
    </row>
    <row r="8" ht="15.75" customHeight="1" spans="1:18" x14ac:dyDescent="0.25">
      <c r="A8" s="83" t="s">
        <v>294</v>
      </c>
      <c r="B8" s="83" t="s">
        <v>14</v>
      </c>
      <c r="C8" s="83" t="s">
        <v>28</v>
      </c>
      <c r="R8" s="83"/>
    </row>
    <row r="9" ht="15.75" customHeight="1" spans="2:18" x14ac:dyDescent="0.25">
      <c r="B9" s="83" t="s">
        <v>15</v>
      </c>
      <c r="C9" s="83" t="s">
        <v>29</v>
      </c>
      <c r="R9" s="83"/>
    </row>
    <row r="10" ht="15.75" customHeight="1" spans="2:18" x14ac:dyDescent="0.25">
      <c r="B10" s="83" t="s">
        <v>16</v>
      </c>
      <c r="C10" s="83" t="s">
        <v>30</v>
      </c>
      <c r="R10" s="83"/>
    </row>
    <row r="11" ht="15.75" customHeight="1" spans="2:18" x14ac:dyDescent="0.25">
      <c r="B11" s="83" t="s">
        <v>17</v>
      </c>
      <c r="C11" s="83" t="s">
        <v>31</v>
      </c>
      <c r="R11" s="83"/>
    </row>
    <row r="12" ht="15.75" customHeight="1" spans="2:18" x14ac:dyDescent="0.25">
      <c r="B12" s="83" t="s">
        <v>18</v>
      </c>
      <c r="C12" s="83" t="s">
        <v>32</v>
      </c>
      <c r="R12" s="83"/>
    </row>
    <row r="13" ht="15.75" customHeight="1" spans="2:18" x14ac:dyDescent="0.25">
      <c r="B13" s="83" t="s">
        <v>19</v>
      </c>
      <c r="C13" s="83" t="s">
        <v>33</v>
      </c>
      <c r="R13" s="83"/>
    </row>
    <row r="14" ht="15.75" customHeight="1" spans="2:18" x14ac:dyDescent="0.25">
      <c r="B14" s="83" t="s">
        <v>20</v>
      </c>
      <c r="C14" s="83" t="s">
        <v>34</v>
      </c>
      <c r="R14" s="83"/>
    </row>
    <row r="15" ht="15.75" customHeight="1" spans="2:18" x14ac:dyDescent="0.25">
      <c r="B15" s="83" t="s">
        <v>21</v>
      </c>
      <c r="C15" s="83" t="s">
        <v>35</v>
      </c>
      <c r="R15" s="83"/>
    </row>
    <row r="16" ht="15.75" customHeight="1" spans="2:18" x14ac:dyDescent="0.25">
      <c r="B16" s="83"/>
      <c r="C16" s="83"/>
      <c r="R16" s="83"/>
    </row>
    <row r="17" ht="15.75" customHeight="1" spans="18:18" x14ac:dyDescent="0.25">
      <c r="R17" s="83"/>
    </row>
    <row r="18" ht="15.75" customHeight="1" spans="18:18" x14ac:dyDescent="0.25">
      <c r="R18" s="83"/>
    </row>
    <row r="19" ht="15.75" customHeight="1" spans="18:18" x14ac:dyDescent="0.25">
      <c r="R19" s="83"/>
    </row>
    <row r="20" ht="15.75" customHeight="1" spans="18:18" x14ac:dyDescent="0.25">
      <c r="R20" s="8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ErrorMessage="1" sqref="R10:R20">
      <formula1>$C$3:$C$15</formula1>
      <formula2>0</formula2>
    </dataValidation>
    <dataValidation type="list" allowBlank="1" showErrorMessage="1" sqref="R6:R20">
      <formula1>$C$3:$C$15</formula1>
      <formula2>0</formula2>
    </dataValidation>
  </dataValidations>
  <pageMargins left="0.7" right="0.7" top="0.75" bottom="0.75" header="0.511805555555555" footer="0.511805555555555"/>
  <pageSetup paperSize="1" orientation="landscape" horizontalDpi="300" verticalDpi="300" scale="10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INQUIRY</vt:lpstr>
      <vt:lpstr>PRINT</vt:lpstr>
      <vt:lpstr>CERTIFICACIONES</vt:lpstr>
      <vt:lpstr>INCOTERM</vt:lpstr>
      <vt:lpstr>CODART PRODUCTO</vt:lpstr>
      <vt:lpstr>BORRADOR</vt:lpstr>
      <vt:lpstr>CODART ORIGEN</vt:lpstr>
      <vt:lpstr>CODART RESPONSABLE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3</cp:revision>
  <dcterms:created xsi:type="dcterms:W3CDTF">2024-11-08T20:52:31Z</dcterms:created>
  <dcterms:modified xsi:type="dcterms:W3CDTF">2024-08-14T08:34:36Z</dcterms:modified>
</cp:coreProperties>
</file>